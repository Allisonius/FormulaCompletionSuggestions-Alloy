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is\OneDrive\Desktop\"/>
    </mc:Choice>
  </mc:AlternateContent>
  <xr:revisionPtr revIDLastSave="0" documentId="13_ncr:1_{D11B5007-7659-483C-84F9-3AA3E7638F79}" xr6:coauthVersionLast="47" xr6:coauthVersionMax="47" xr10:uidLastSave="{00000000-0000-0000-0000-000000000000}"/>
  <bookViews>
    <workbookView xWindow="25695" yWindow="0" windowWidth="26010" windowHeight="20985" xr2:uid="{85D158F8-4032-4940-81EC-840D09FE60A0}"/>
  </bookViews>
  <sheets>
    <sheet name="Correlation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3" l="1"/>
  <c r="AD12" i="3"/>
  <c r="P2" i="3"/>
  <c r="O2" i="3"/>
  <c r="AA13" i="3"/>
  <c r="AF16" i="3"/>
  <c r="AA14" i="3"/>
  <c r="AD16" i="3"/>
  <c r="G14" i="3"/>
  <c r="AG17" i="3"/>
  <c r="Z17" i="3"/>
  <c r="AA17" i="3"/>
  <c r="AA18" i="3"/>
  <c r="AG12" i="3"/>
  <c r="T12" i="3"/>
  <c r="Y12" i="3"/>
  <c r="Z12" i="3"/>
  <c r="AA12" i="3"/>
  <c r="AB12" i="3"/>
  <c r="AC12" i="3"/>
  <c r="AE12" i="3"/>
  <c r="AF12" i="3"/>
  <c r="AH12" i="3"/>
  <c r="Y13" i="3"/>
  <c r="Z13" i="3"/>
  <c r="AB13" i="3"/>
  <c r="AC13" i="3"/>
  <c r="AD13" i="3"/>
  <c r="AE13" i="3"/>
  <c r="AF13" i="3"/>
  <c r="AG13" i="3"/>
  <c r="AH13" i="3"/>
  <c r="Y14" i="3"/>
  <c r="Z14" i="3"/>
  <c r="AB14" i="3"/>
  <c r="AC14" i="3"/>
  <c r="AD14" i="3"/>
  <c r="AE14" i="3"/>
  <c r="AF14" i="3"/>
  <c r="AG14" i="3"/>
  <c r="AH14" i="3"/>
  <c r="Y15" i="3"/>
  <c r="Z15" i="3"/>
  <c r="AA15" i="3"/>
  <c r="AB15" i="3"/>
  <c r="AC15" i="3"/>
  <c r="AD15" i="3"/>
  <c r="AE15" i="3"/>
  <c r="AF15" i="3"/>
  <c r="AG15" i="3"/>
  <c r="AH15" i="3"/>
  <c r="Y16" i="3"/>
  <c r="Z16" i="3"/>
  <c r="AA16" i="3"/>
  <c r="AB16" i="3"/>
  <c r="AC16" i="3"/>
  <c r="AE16" i="3"/>
  <c r="AG16" i="3"/>
  <c r="AH16" i="3"/>
  <c r="AB17" i="3"/>
  <c r="AF17" i="3"/>
  <c r="AH17" i="3"/>
  <c r="AC17" i="3"/>
  <c r="AD17" i="3"/>
  <c r="AE17" i="3"/>
  <c r="AB18" i="3"/>
  <c r="AC18" i="3"/>
  <c r="AD18" i="3"/>
  <c r="AE18" i="3"/>
  <c r="AF18" i="3"/>
  <c r="AG18" i="3"/>
  <c r="AH18" i="3"/>
  <c r="U18" i="3"/>
  <c r="V18" i="3"/>
  <c r="W18" i="3"/>
  <c r="X18" i="3"/>
  <c r="Y18" i="3"/>
  <c r="Z18" i="3"/>
  <c r="T18" i="3"/>
  <c r="U17" i="3"/>
  <c r="V17" i="3"/>
  <c r="W17" i="3"/>
  <c r="X17" i="3"/>
  <c r="Y17" i="3"/>
  <c r="T17" i="3"/>
  <c r="P3" i="3"/>
  <c r="P4" i="3"/>
  <c r="P5" i="3"/>
  <c r="P6" i="3"/>
  <c r="O3" i="3"/>
  <c r="O4" i="3"/>
  <c r="O5" i="3"/>
  <c r="O6" i="3"/>
  <c r="L6" i="3"/>
  <c r="L5" i="3"/>
  <c r="L3" i="3"/>
  <c r="L4" i="3"/>
  <c r="U13" i="3"/>
  <c r="V13" i="3"/>
  <c r="W13" i="3"/>
  <c r="X13" i="3"/>
  <c r="U14" i="3"/>
  <c r="V14" i="3"/>
  <c r="W14" i="3"/>
  <c r="X14" i="3"/>
  <c r="U15" i="3"/>
  <c r="V15" i="3"/>
  <c r="W15" i="3"/>
  <c r="X15" i="3"/>
  <c r="U16" i="3"/>
  <c r="V16" i="3"/>
  <c r="W16" i="3"/>
  <c r="X16" i="3"/>
  <c r="T16" i="3"/>
  <c r="T15" i="3"/>
  <c r="T14" i="3"/>
  <c r="T13" i="3"/>
  <c r="U12" i="3"/>
  <c r="V12" i="3"/>
  <c r="W12" i="3"/>
  <c r="X12" i="3"/>
  <c r="G10" i="3"/>
  <c r="G11" i="3"/>
  <c r="G12" i="3"/>
  <c r="G13" i="3"/>
  <c r="G9" i="3"/>
  <c r="U11" i="3" l="1"/>
  <c r="AD11" i="3"/>
  <c r="Z11" i="3"/>
  <c r="AC11" i="3"/>
  <c r="Y11" i="3"/>
  <c r="AB11" i="3"/>
  <c r="AA11" i="3"/>
  <c r="AH11" i="3"/>
  <c r="AG11" i="3"/>
  <c r="AF11" i="3"/>
  <c r="AE11" i="3"/>
  <c r="V11" i="3"/>
  <c r="X11" i="3"/>
  <c r="W11" i="3"/>
  <c r="T11" i="3"/>
</calcChain>
</file>

<file path=xl/sharedStrings.xml><?xml version="1.0" encoding="utf-8"?>
<sst xmlns="http://schemas.openxmlformats.org/spreadsheetml/2006/main" count="59" uniqueCount="41">
  <si>
    <t>Total</t>
  </si>
  <si>
    <t>git</t>
  </si>
  <si>
    <t>icd</t>
  </si>
  <si>
    <t>frankervrep</t>
  </si>
  <si>
    <t>java_meta_model</t>
  </si>
  <si>
    <t>modelo-alloy</t>
  </si>
  <si>
    <t>Total runtime</t>
  </si>
  <si>
    <t>sig</t>
  </si>
  <si>
    <t>abs</t>
  </si>
  <si>
    <t>ext</t>
  </si>
  <si>
    <t>rel</t>
  </si>
  <si>
    <t>airt</t>
  </si>
  <si>
    <t>fact</t>
  </si>
  <si>
    <t>pred</t>
  </si>
  <si>
    <t>func</t>
  </si>
  <si>
    <t>depth</t>
  </si>
  <si>
    <t>parsing</t>
  </si>
  <si>
    <t>gen</t>
  </si>
  <si>
    <t>ranking</t>
  </si>
  <si>
    <t>contrast</t>
  </si>
  <si>
    <t>impact</t>
  </si>
  <si>
    <t>max rel</t>
  </si>
  <si>
    <t>no rel</t>
  </si>
  <si>
    <t>num gen</t>
  </si>
  <si>
    <t>num form</t>
  </si>
  <si>
    <t>airty</t>
  </si>
  <si>
    <t>some sig</t>
  </si>
  <si>
    <t>types</t>
  </si>
  <si>
    <t>Parse</t>
  </si>
  <si>
    <t>Gen</t>
  </si>
  <si>
    <t>Rank</t>
  </si>
  <si>
    <t>Contrast</t>
  </si>
  <si>
    <t>Impact</t>
  </si>
  <si>
    <t>#Rel</t>
  </si>
  <si>
    <t>Rel/Sig Ratio</t>
  </si>
  <si>
    <t>#Func</t>
  </si>
  <si>
    <t>#Sig,#Ex</t>
  </si>
  <si>
    <t>Rel Per Sig</t>
  </si>
  <si>
    <t>rel / sig</t>
  </si>
  <si>
    <t>% no rel sig</t>
  </si>
  <si>
    <t>ub (rel)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</si>
</sst>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 applyAlignment="1">
      <alignment vertical="center"/>
    </xf>
    <xf numFmtId="2" fontId="0" fillId="2" borderId="0" xfId="0" applyNumberFormat="1" applyFill="1"/>
    <xf numFmtId="2" fontId="2" fillId="3" borderId="0" xfId="0" applyNumberFormat="1" applyFont="1" applyFill="1"/>
    <xf numFmtId="2" fontId="0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3E498-55EE-4AB4-A776-F0D97994AFDA}">
  <dimension ref="A1:AK26"/>
  <sheetViews>
    <sheetView tabSelected="1" topLeftCell="M1" workbookViewId="0">
      <selection activeCell="O46" sqref="O46"/>
    </sheetView>
  </sheetViews>
  <sheetFormatPr defaultRowHeight="15" x14ac:dyDescent="0.25"/>
  <cols>
    <col min="9" max="9" width="12.7109375" bestFit="1" customWidth="1"/>
    <col min="12" max="16" width="12" bestFit="1" customWidth="1"/>
    <col min="17" max="17" width="11" bestFit="1" customWidth="1"/>
    <col min="19" max="19" width="18.42578125" customWidth="1"/>
  </cols>
  <sheetData>
    <row r="1" spans="1:37" x14ac:dyDescent="0.25">
      <c r="B1" t="s">
        <v>7</v>
      </c>
      <c r="C1" t="s">
        <v>8</v>
      </c>
      <c r="D1" t="s">
        <v>9</v>
      </c>
      <c r="E1" t="s">
        <v>10</v>
      </c>
      <c r="F1" t="s">
        <v>25</v>
      </c>
      <c r="G1" t="s">
        <v>12</v>
      </c>
      <c r="H1" t="s">
        <v>13</v>
      </c>
      <c r="I1" t="s">
        <v>14</v>
      </c>
      <c r="J1" t="s">
        <v>15</v>
      </c>
      <c r="K1" t="s">
        <v>26</v>
      </c>
      <c r="L1" t="s">
        <v>27</v>
      </c>
      <c r="M1" t="s">
        <v>21</v>
      </c>
      <c r="N1" t="s">
        <v>22</v>
      </c>
      <c r="O1" t="s">
        <v>37</v>
      </c>
    </row>
    <row r="2" spans="1:37" x14ac:dyDescent="0.25">
      <c r="A2" s="3" t="s">
        <v>3</v>
      </c>
      <c r="B2">
        <v>52</v>
      </c>
      <c r="C2">
        <v>17</v>
      </c>
      <c r="D2">
        <v>35</v>
      </c>
      <c r="E2">
        <v>16</v>
      </c>
      <c r="F2">
        <v>2.0625</v>
      </c>
      <c r="G2">
        <v>14</v>
      </c>
      <c r="H2">
        <v>3</v>
      </c>
      <c r="I2">
        <v>1</v>
      </c>
      <c r="J2">
        <v>4.75</v>
      </c>
      <c r="K2">
        <v>35</v>
      </c>
      <c r="L2">
        <f>B2-D2</f>
        <v>17</v>
      </c>
      <c r="M2">
        <v>3</v>
      </c>
      <c r="N2">
        <v>40</v>
      </c>
      <c r="O2">
        <f>E2/B2</f>
        <v>0.30769230769230771</v>
      </c>
      <c r="P2">
        <f>(N2)/B2*100</f>
        <v>76.923076923076934</v>
      </c>
      <c r="Q2">
        <v>76621</v>
      </c>
      <c r="R2">
        <v>26944</v>
      </c>
    </row>
    <row r="3" spans="1:37" x14ac:dyDescent="0.25">
      <c r="A3" s="3" t="s">
        <v>1</v>
      </c>
      <c r="B3">
        <v>10</v>
      </c>
      <c r="C3">
        <v>2</v>
      </c>
      <c r="D3">
        <v>6</v>
      </c>
      <c r="E3">
        <v>17</v>
      </c>
      <c r="F3">
        <v>2.2941176470588198</v>
      </c>
      <c r="G3">
        <v>3</v>
      </c>
      <c r="H3">
        <v>103</v>
      </c>
      <c r="I3">
        <v>10</v>
      </c>
      <c r="J3">
        <v>6.2654867256637097</v>
      </c>
      <c r="K3">
        <v>1</v>
      </c>
      <c r="L3">
        <f>B3-D3</f>
        <v>4</v>
      </c>
      <c r="M3">
        <v>5</v>
      </c>
      <c r="N3">
        <v>2</v>
      </c>
      <c r="O3">
        <f>E3/B3</f>
        <v>1.7</v>
      </c>
      <c r="P3">
        <f>(N3)/B3*100</f>
        <v>20</v>
      </c>
      <c r="Q3">
        <v>393801</v>
      </c>
      <c r="R3">
        <v>411827</v>
      </c>
    </row>
    <row r="4" spans="1:37" x14ac:dyDescent="0.25">
      <c r="A4" s="3" t="s">
        <v>2</v>
      </c>
      <c r="B4">
        <v>21</v>
      </c>
      <c r="C4">
        <v>4</v>
      </c>
      <c r="D4">
        <v>13</v>
      </c>
      <c r="E4">
        <v>12</v>
      </c>
      <c r="F4">
        <v>2.0833333333333299</v>
      </c>
      <c r="G4">
        <v>3</v>
      </c>
      <c r="H4">
        <v>9</v>
      </c>
      <c r="I4">
        <v>0</v>
      </c>
      <c r="J4">
        <v>6.2222222222222197</v>
      </c>
      <c r="K4">
        <v>8</v>
      </c>
      <c r="L4">
        <f>B4-D4</f>
        <v>8</v>
      </c>
      <c r="M4">
        <v>6</v>
      </c>
      <c r="N4">
        <v>15</v>
      </c>
      <c r="O4">
        <f>E4/B4</f>
        <v>0.5714285714285714</v>
      </c>
      <c r="P4">
        <f>(N4)/B4*100</f>
        <v>71.428571428571431</v>
      </c>
      <c r="Q4">
        <v>88094</v>
      </c>
      <c r="R4">
        <v>10038</v>
      </c>
    </row>
    <row r="5" spans="1:37" x14ac:dyDescent="0.25">
      <c r="A5" s="3" t="s">
        <v>4</v>
      </c>
      <c r="B5">
        <v>26</v>
      </c>
      <c r="C5">
        <v>6</v>
      </c>
      <c r="D5">
        <v>18</v>
      </c>
      <c r="E5">
        <v>21</v>
      </c>
      <c r="F5">
        <v>2</v>
      </c>
      <c r="G5">
        <v>5</v>
      </c>
      <c r="H5">
        <v>31</v>
      </c>
      <c r="I5">
        <v>4</v>
      </c>
      <c r="J5">
        <v>7.2285714285714198</v>
      </c>
      <c r="K5">
        <v>8</v>
      </c>
      <c r="L5">
        <f>B5-D5</f>
        <v>8</v>
      </c>
      <c r="M5">
        <v>5</v>
      </c>
      <c r="N5">
        <v>19</v>
      </c>
      <c r="O5">
        <f>E5/B5</f>
        <v>0.80769230769230771</v>
      </c>
      <c r="P5">
        <f>(N5)/B5*100</f>
        <v>73.076923076923066</v>
      </c>
      <c r="Q5">
        <v>240357</v>
      </c>
      <c r="R5">
        <v>233275</v>
      </c>
    </row>
    <row r="6" spans="1:37" x14ac:dyDescent="0.25">
      <c r="A6" s="3" t="s">
        <v>5</v>
      </c>
      <c r="B6">
        <v>40</v>
      </c>
      <c r="C6">
        <v>4</v>
      </c>
      <c r="D6">
        <v>25</v>
      </c>
      <c r="E6">
        <v>27</v>
      </c>
      <c r="F6">
        <v>2</v>
      </c>
      <c r="G6">
        <v>23</v>
      </c>
      <c r="H6">
        <v>7</v>
      </c>
      <c r="I6">
        <v>4</v>
      </c>
      <c r="J6">
        <v>7.4545454545454497</v>
      </c>
      <c r="K6">
        <v>3</v>
      </c>
      <c r="L6">
        <f>B6-D6</f>
        <v>15</v>
      </c>
      <c r="M6">
        <v>8</v>
      </c>
      <c r="N6">
        <v>27</v>
      </c>
      <c r="O6">
        <f>E6/B6</f>
        <v>0.67500000000000004</v>
      </c>
      <c r="P6">
        <f>(N6)/B6*100</f>
        <v>67.5</v>
      </c>
      <c r="Q6">
        <v>202014</v>
      </c>
      <c r="R6">
        <v>196864</v>
      </c>
    </row>
    <row r="9" spans="1:37" x14ac:dyDescent="0.25">
      <c r="A9" t="s">
        <v>3</v>
      </c>
      <c r="B9">
        <v>6</v>
      </c>
      <c r="C9">
        <v>14</v>
      </c>
      <c r="D9" s="2">
        <v>15.75</v>
      </c>
      <c r="E9" s="2">
        <v>227.99</v>
      </c>
      <c r="F9" s="2">
        <v>108</v>
      </c>
      <c r="G9" s="2">
        <f t="shared" ref="G9:G14" si="0">B9+C9+D9+E9+F9</f>
        <v>371.74</v>
      </c>
    </row>
    <row r="10" spans="1:37" x14ac:dyDescent="0.25">
      <c r="A10" t="s">
        <v>1</v>
      </c>
      <c r="B10">
        <v>37</v>
      </c>
      <c r="C10">
        <v>94</v>
      </c>
      <c r="D10" s="2">
        <v>58.26</v>
      </c>
      <c r="E10" s="2">
        <v>86.51</v>
      </c>
      <c r="F10" s="2">
        <v>23</v>
      </c>
      <c r="G10" s="2">
        <f t="shared" si="0"/>
        <v>298.77</v>
      </c>
      <c r="T10" t="s">
        <v>7</v>
      </c>
      <c r="U10" t="s">
        <v>8</v>
      </c>
      <c r="V10" t="s">
        <v>9</v>
      </c>
      <c r="W10" t="s">
        <v>10</v>
      </c>
      <c r="X10" t="s">
        <v>11</v>
      </c>
      <c r="Y10" t="s">
        <v>12</v>
      </c>
      <c r="Z10" t="s">
        <v>13</v>
      </c>
      <c r="AA10" t="s">
        <v>14</v>
      </c>
      <c r="AB10" t="s">
        <v>15</v>
      </c>
      <c r="AC10" t="s">
        <v>26</v>
      </c>
      <c r="AD10" t="s">
        <v>27</v>
      </c>
      <c r="AE10" t="s">
        <v>40</v>
      </c>
      <c r="AF10" t="s">
        <v>22</v>
      </c>
      <c r="AG10" t="s">
        <v>38</v>
      </c>
      <c r="AH10" t="s">
        <v>39</v>
      </c>
    </row>
    <row r="11" spans="1:37" x14ac:dyDescent="0.25">
      <c r="A11" t="s">
        <v>2</v>
      </c>
      <c r="B11">
        <v>15</v>
      </c>
      <c r="C11">
        <v>4</v>
      </c>
      <c r="D11" s="2">
        <v>14.77</v>
      </c>
      <c r="E11" s="2">
        <v>83.17</v>
      </c>
      <c r="F11" s="2">
        <v>21</v>
      </c>
      <c r="G11" s="2">
        <f t="shared" si="0"/>
        <v>137.94</v>
      </c>
      <c r="S11" t="s">
        <v>6</v>
      </c>
      <c r="T11" s="1">
        <f t="shared" ref="T11:Z11" si="1">CORREL(B2:B6,$G9:$G13)</f>
        <v>0.3956537286755123</v>
      </c>
      <c r="U11" s="1">
        <f t="shared" si="1"/>
        <v>4.1028926256763326E-2</v>
      </c>
      <c r="V11" s="1">
        <f t="shared" si="1"/>
        <v>0.39886048229144927</v>
      </c>
      <c r="W11" s="5">
        <f t="shared" si="1"/>
        <v>0.92690131383757668</v>
      </c>
      <c r="X11" s="1">
        <f t="shared" si="1"/>
        <v>-0.55666982764675488</v>
      </c>
      <c r="Y11" s="1">
        <f t="shared" si="1"/>
        <v>0.61587942394132178</v>
      </c>
      <c r="Z11" s="1">
        <f t="shared" si="1"/>
        <v>-0.17487620048070526</v>
      </c>
      <c r="AA11" s="1">
        <f t="shared" ref="AA11:AD11" si="2">CORREL(I2:I6,$G9:$G13)</f>
        <v>0.17011968764118149</v>
      </c>
      <c r="AB11" s="1">
        <f t="shared" si="2"/>
        <v>0.56604288177033013</v>
      </c>
      <c r="AC11" s="1">
        <f t="shared" si="2"/>
        <v>-0.10211058447487614</v>
      </c>
      <c r="AD11" s="1">
        <f t="shared" si="2"/>
        <v>0.3799722224582639</v>
      </c>
      <c r="AE11" s="1">
        <f>CORREL(M2:M6,$G9:$G13)</f>
        <v>0.29794751337215925</v>
      </c>
      <c r="AF11" s="1">
        <f>CORREL(N2:N6,$G9:$G13)</f>
        <v>0.3456032787233701</v>
      </c>
      <c r="AG11" s="1">
        <f>CORREL(O2:O6,$G9:$G13)</f>
        <v>-0.10101976024230674</v>
      </c>
      <c r="AH11" s="1">
        <f>CORREL(P2:P6,$G9:$G13)</f>
        <v>0.24173911590356792</v>
      </c>
      <c r="AI11" s="1"/>
      <c r="AJ11" s="1"/>
      <c r="AK11" s="1"/>
    </row>
    <row r="12" spans="1:37" x14ac:dyDescent="0.25">
      <c r="A12" t="s">
        <v>4</v>
      </c>
      <c r="B12">
        <v>37</v>
      </c>
      <c r="C12">
        <v>49</v>
      </c>
      <c r="D12" s="2">
        <v>29.75</v>
      </c>
      <c r="E12" s="2">
        <v>443.79</v>
      </c>
      <c r="F12" s="2">
        <v>21</v>
      </c>
      <c r="G12" s="2">
        <f t="shared" si="0"/>
        <v>580.54</v>
      </c>
      <c r="S12" t="s">
        <v>16</v>
      </c>
      <c r="T12" s="4">
        <f>CORREL(B2:B6,$B9:$B13)</f>
        <v>-0.78060528353883318</v>
      </c>
      <c r="U12" s="1">
        <f>CORREL(C2:C6,$B9:$B13)</f>
        <v>-0.57275269420388397</v>
      </c>
      <c r="V12" s="1">
        <f>CORREL(D2:D6,$B9:$B13)</f>
        <v>-0.74126975070385603</v>
      </c>
      <c r="W12" s="1">
        <f>CORREL(E2:E6,$B9:$B13)</f>
        <v>4.7588323667453032E-2</v>
      </c>
      <c r="X12" s="1">
        <f>CORREL(F2:F6,$B9:$B13)</f>
        <v>0.4371765205394384</v>
      </c>
      <c r="Y12" s="1">
        <f t="shared" ref="Y12:AH12" si="3">CORREL(G2:G6,$B9:$B13)</f>
        <v>-0.6371591550035921</v>
      </c>
      <c r="Z12" s="4">
        <f t="shared" si="3"/>
        <v>0.78445054056002717</v>
      </c>
      <c r="AA12" s="4">
        <f t="shared" si="3"/>
        <v>0.72620342390079451</v>
      </c>
      <c r="AB12" s="1">
        <f t="shared" si="3"/>
        <v>0.43982110997408536</v>
      </c>
      <c r="AC12" s="1">
        <f t="shared" si="3"/>
        <v>-0.59438504029948858</v>
      </c>
      <c r="AD12" s="5">
        <f>CORREL(L2:L6,$B9:$B13)</f>
        <v>-0.84371660416417305</v>
      </c>
      <c r="AE12" s="1">
        <f t="shared" si="3"/>
        <v>-3.5807269720840029E-2</v>
      </c>
      <c r="AF12" s="4">
        <f t="shared" si="3"/>
        <v>-0.77383386462155568</v>
      </c>
      <c r="AG12" s="6">
        <f>CORREL(O2:O6,$B9:$B13)</f>
        <v>0.78882252255241192</v>
      </c>
      <c r="AH12" s="1">
        <f t="shared" si="3"/>
        <v>-0.5977913147206918</v>
      </c>
      <c r="AI12" s="1"/>
      <c r="AJ12" s="1"/>
      <c r="AK12" s="1"/>
    </row>
    <row r="13" spans="1:37" x14ac:dyDescent="0.25">
      <c r="A13" t="s">
        <v>5</v>
      </c>
      <c r="B13">
        <v>12</v>
      </c>
      <c r="C13">
        <v>122</v>
      </c>
      <c r="D13" s="2">
        <v>58.7</v>
      </c>
      <c r="E13" s="2">
        <v>354.91</v>
      </c>
      <c r="F13" s="2">
        <v>64</v>
      </c>
      <c r="G13" s="2">
        <f t="shared" si="0"/>
        <v>611.61</v>
      </c>
      <c r="S13" t="s">
        <v>17</v>
      </c>
      <c r="T13" s="1">
        <f>CORREL(B2:B6,$C9:$C13)</f>
        <v>-0.15795327355589447</v>
      </c>
      <c r="U13" s="1">
        <f>CORREL(C2:C6,$C9:$C13)</f>
        <v>-0.52971300681336664</v>
      </c>
      <c r="V13" s="1">
        <f>CORREL(D2:D6,$C9:$C13)</f>
        <v>-0.19967613953372024</v>
      </c>
      <c r="W13" s="5">
        <f>CORREL(E2:E6,$C9:$C13)</f>
        <v>0.80489479297891087</v>
      </c>
      <c r="X13" s="1">
        <f>CORREL(F2:F6,$C9:$C13)</f>
        <v>0.16076905423790347</v>
      </c>
      <c r="Y13" s="1">
        <f t="shared" ref="Y13:AH13" si="4">CORREL(G2:G6,$C9:$C13)</f>
        <v>0.46300233162094245</v>
      </c>
      <c r="Z13" s="1">
        <f t="shared" si="4"/>
        <v>0.4079433038812863</v>
      </c>
      <c r="AA13" s="4">
        <f>CORREL(I2:I6,$C9:$C13)</f>
        <v>0.71041007467701889</v>
      </c>
      <c r="AB13" s="1">
        <f t="shared" si="4"/>
        <v>0.63231505793656217</v>
      </c>
      <c r="AC13" s="1">
        <f t="shared" si="4"/>
        <v>-0.62190801331223988</v>
      </c>
      <c r="AD13" s="1">
        <f t="shared" si="4"/>
        <v>-6.839355972226456E-2</v>
      </c>
      <c r="AE13" s="1">
        <f t="shared" si="4"/>
        <v>0.62005502023323433</v>
      </c>
      <c r="AF13" s="1">
        <f t="shared" si="4"/>
        <v>-0.27786052629076535</v>
      </c>
      <c r="AG13" s="1">
        <f t="shared" si="4"/>
        <v>0.54364722949276911</v>
      </c>
      <c r="AH13" s="1">
        <f t="shared" si="4"/>
        <v>-0.50621362114363444</v>
      </c>
      <c r="AI13" s="1"/>
      <c r="AJ13" s="1"/>
      <c r="AK13" s="1"/>
    </row>
    <row r="14" spans="1:37" x14ac:dyDescent="0.25">
      <c r="B14">
        <v>11</v>
      </c>
      <c r="C14">
        <v>17</v>
      </c>
      <c r="D14" s="2">
        <v>13.48</v>
      </c>
      <c r="E14" s="2">
        <v>91.62</v>
      </c>
      <c r="F14" s="2">
        <v>13.19</v>
      </c>
      <c r="G14" s="2">
        <f t="shared" si="0"/>
        <v>146.29000000000002</v>
      </c>
      <c r="S14" t="s">
        <v>18</v>
      </c>
      <c r="T14" s="1">
        <f>CORREL(B2:B6,$D9:$D13)</f>
        <v>-0.31201051968754356</v>
      </c>
      <c r="U14" s="1">
        <f>CORREL(C2:C6,$D9:$D13)</f>
        <v>-0.59875992644879439</v>
      </c>
      <c r="V14" s="1">
        <f>CORREL(D2:D6,$D9:$D13)</f>
        <v>-0.35148518260418837</v>
      </c>
      <c r="W14" s="1">
        <f>CORREL(E2:E6,$D9:$D13)</f>
        <v>0.67016134553624962</v>
      </c>
      <c r="X14" s="1">
        <f>CORREL(F2:F6,$D9:$D13)</f>
        <v>0.35497474246548544</v>
      </c>
      <c r="Y14" s="1">
        <f t="shared" ref="Y14:AH14" si="5">CORREL(G2:G6,$D9:$D13)</f>
        <v>0.30951516447468647</v>
      </c>
      <c r="Z14" s="1">
        <f t="shared" si="5"/>
        <v>0.57084979084967979</v>
      </c>
      <c r="AA14" s="5">
        <f>CORREL(I2:I6,$D9:$D13)</f>
        <v>0.81796238981404745</v>
      </c>
      <c r="AB14" s="1">
        <f t="shared" si="5"/>
        <v>0.56646392212658137</v>
      </c>
      <c r="AC14" s="1">
        <f t="shared" si="5"/>
        <v>-0.67148033275288355</v>
      </c>
      <c r="AD14" s="1">
        <f t="shared" si="5"/>
        <v>-0.22354721879280348</v>
      </c>
      <c r="AE14" s="1">
        <f t="shared" si="5"/>
        <v>0.55735754937867643</v>
      </c>
      <c r="AF14" s="1">
        <f t="shared" si="5"/>
        <v>-0.43181654963873428</v>
      </c>
      <c r="AG14" s="1">
        <f t="shared" si="5"/>
        <v>0.69227394102985662</v>
      </c>
      <c r="AH14" s="1">
        <f t="shared" si="5"/>
        <v>-0.67017083061680793</v>
      </c>
      <c r="AI14" s="1"/>
      <c r="AJ14" s="1"/>
      <c r="AK14" s="1"/>
    </row>
    <row r="15" spans="1:37" x14ac:dyDescent="0.25">
      <c r="S15" t="s">
        <v>19</v>
      </c>
      <c r="T15" s="1">
        <f>CORREL(B2:B6,$E9:$E13)</f>
        <v>0.43120098653624345</v>
      </c>
      <c r="U15" s="1">
        <f>CORREL(C2:C6,$E9:$E13)</f>
        <v>0.14783991584231765</v>
      </c>
      <c r="V15" s="1">
        <f>CORREL(D2:D6,$E9:$E13)</f>
        <v>0.45147026590210559</v>
      </c>
      <c r="W15" s="5">
        <f>CORREL(E2:E6,$E9:$E13)</f>
        <v>0.75818036904063701</v>
      </c>
      <c r="X15" s="4">
        <f>CORREL(F2:F6,$E9:$E13)</f>
        <v>-0.7544482509855609</v>
      </c>
      <c r="Y15" s="1">
        <f t="shared" ref="Y15:AH15" si="6">CORREL(G2:G6,$E9:$E13)</f>
        <v>0.46172370351194941</v>
      </c>
      <c r="Z15" s="1">
        <f t="shared" si="6"/>
        <v>-0.37253502164999136</v>
      </c>
      <c r="AA15" s="1">
        <f t="shared" si="6"/>
        <v>-0.10320846921683045</v>
      </c>
      <c r="AB15" s="1">
        <f t="shared" si="6"/>
        <v>0.52221460774936423</v>
      </c>
      <c r="AC15" s="1">
        <f t="shared" si="6"/>
        <v>2.1103770365430572E-2</v>
      </c>
      <c r="AD15" s="1">
        <f t="shared" si="6"/>
        <v>0.37956049484543231</v>
      </c>
      <c r="AE15" s="1">
        <f t="shared" si="6"/>
        <v>0.1829642676488584</v>
      </c>
      <c r="AF15" s="1">
        <f t="shared" si="6"/>
        <v>0.43137651954419631</v>
      </c>
      <c r="AG15" s="1">
        <f t="shared" si="6"/>
        <v>-0.3213311669112236</v>
      </c>
      <c r="AH15" s="1">
        <f t="shared" si="6"/>
        <v>0.50668032029886823</v>
      </c>
      <c r="AI15" s="1"/>
      <c r="AJ15" s="1"/>
      <c r="AK15" s="1"/>
    </row>
    <row r="16" spans="1:37" x14ac:dyDescent="0.25">
      <c r="S16" t="s">
        <v>20</v>
      </c>
      <c r="T16" s="5">
        <f>CORREL(B2:B6,$F9:$F13)</f>
        <v>0.91995580507664942</v>
      </c>
      <c r="U16" s="4">
        <f>CORREL(C2:C6,$F9:$F13)</f>
        <v>0.85004694477733167</v>
      </c>
      <c r="V16" s="5">
        <f>CORREL(D2:D6,$F9:$F13)</f>
        <v>0.91448180945705926</v>
      </c>
      <c r="W16" s="1">
        <f>CORREL(E2:E6,$F9:$F13)</f>
        <v>0.15048503514627351</v>
      </c>
      <c r="X16" s="1">
        <f>CORREL(F2:F6,$F9:$F13)</f>
        <v>-0.29952101406758441</v>
      </c>
      <c r="Y16" s="1">
        <f t="shared" ref="Y16:AH16" si="7">CORREL(G2:G6,$F9:$F13)</f>
        <v>0.70032215330331116</v>
      </c>
      <c r="Z16" s="1">
        <f t="shared" si="7"/>
        <v>-0.50643661941674623</v>
      </c>
      <c r="AA16" s="1">
        <f t="shared" si="7"/>
        <v>-0.37049515323446286</v>
      </c>
      <c r="AB16" s="1">
        <f t="shared" si="7"/>
        <v>-0.585160442135505</v>
      </c>
      <c r="AC16" s="1">
        <f t="shared" si="7"/>
        <v>0.81266549288118151</v>
      </c>
      <c r="AD16" s="5">
        <f>CORREL(L2:L6,$F9:$F13)</f>
        <v>0.91012606904821425</v>
      </c>
      <c r="AE16" s="1">
        <f t="shared" si="7"/>
        <v>-0.34935024309632356</v>
      </c>
      <c r="AF16" s="4">
        <f>CORREL(N2:N6,$F9:$F13)</f>
        <v>0.88519040542833016</v>
      </c>
      <c r="AG16" s="1">
        <f t="shared" si="7"/>
        <v>-0.58921336698303872</v>
      </c>
      <c r="AH16" s="1">
        <f t="shared" si="7"/>
        <v>0.40664598405320179</v>
      </c>
      <c r="AI16" s="1"/>
      <c r="AJ16" s="1"/>
      <c r="AK16" s="1"/>
    </row>
    <row r="17" spans="5:35" x14ac:dyDescent="0.25">
      <c r="S17" t="s">
        <v>23</v>
      </c>
      <c r="T17" s="1">
        <f>CORREL($Q2:$Q6,B2:B6)</f>
        <v>-0.67300537559792928</v>
      </c>
      <c r="U17" s="1">
        <f t="shared" ref="U17:Y17" si="8">CORREL($Q2:$Q6,C2:C6)</f>
        <v>-0.61792914938379462</v>
      </c>
      <c r="V17" s="1">
        <f t="shared" si="8"/>
        <v>-0.66748008617431343</v>
      </c>
      <c r="W17" s="1">
        <f t="shared" si="8"/>
        <v>0.2934785281154616</v>
      </c>
      <c r="X17" s="1">
        <f t="shared" si="8"/>
        <v>0.63660450318397133</v>
      </c>
      <c r="Y17" s="1">
        <f t="shared" si="8"/>
        <v>-0.27389802943305247</v>
      </c>
      <c r="Z17" s="4">
        <f>CORREL($Q2:$Q6,H2:H6)</f>
        <v>0.91396416127195679</v>
      </c>
      <c r="AA17" s="4">
        <f>CORREL($Q2:$Q6,I2:I6)</f>
        <v>0.98184821368962727</v>
      </c>
      <c r="AB17" s="1">
        <f>CORREL($Q2:$Q6,J2:J6)</f>
        <v>0.42125528449415872</v>
      </c>
      <c r="AC17" s="1">
        <f t="shared" ref="AC17:AE17" si="9">CORREL($Q2:$Q6,K2:K6)</f>
        <v>-0.65990849837231946</v>
      </c>
      <c r="AD17" s="1">
        <f t="shared" si="9"/>
        <v>-0.66894651457383714</v>
      </c>
      <c r="AE17" s="1">
        <f t="shared" si="9"/>
        <v>0.14951274624227998</v>
      </c>
      <c r="AF17" s="1">
        <f>CORREL($Q2:$Q6,N2:N6)</f>
        <v>-0.7424110441731403</v>
      </c>
      <c r="AG17" s="4">
        <f>CORREL($Q2:$Q6,O2:O6)</f>
        <v>0.9526566032921312</v>
      </c>
      <c r="AH17" s="4">
        <f>CORREL($Q2:$Q6,P2:P6)</f>
        <v>-0.86610129939724978</v>
      </c>
      <c r="AI17" s="1"/>
    </row>
    <row r="18" spans="5:35" x14ac:dyDescent="0.25">
      <c r="S18" t="s">
        <v>24</v>
      </c>
      <c r="T18" s="1">
        <f>CORREL($R2:$R6,B2:B6)</f>
        <v>-0.60071153508511066</v>
      </c>
      <c r="U18" s="1">
        <f t="shared" ref="U18:Z18" si="10">CORREL($R2:$R6,C2:C6)</f>
        <v>-0.57991863098673546</v>
      </c>
      <c r="V18" s="1">
        <f t="shared" si="10"/>
        <v>-0.59561093769298423</v>
      </c>
      <c r="W18" s="1">
        <f t="shared" si="10"/>
        <v>0.37778016735797143</v>
      </c>
      <c r="X18" s="1">
        <f t="shared" si="10"/>
        <v>0.57895020667248487</v>
      </c>
      <c r="Y18" s="1">
        <f t="shared" si="10"/>
        <v>-0.19016050246206623</v>
      </c>
      <c r="Z18" s="4">
        <f t="shared" si="10"/>
        <v>0.87776139390518659</v>
      </c>
      <c r="AA18" s="4">
        <f t="shared" ref="AA18:AH18" si="11">CORREL($R2:$R6,I2:I6)</f>
        <v>0.98072492714781534</v>
      </c>
      <c r="AB18" s="1">
        <f t="shared" si="11"/>
        <v>0.44355233094908764</v>
      </c>
      <c r="AC18" s="1">
        <f t="shared" si="11"/>
        <v>-0.63523315759295829</v>
      </c>
      <c r="AD18" s="1">
        <f t="shared" si="11"/>
        <v>-0.59743641457272401</v>
      </c>
      <c r="AE18" s="1">
        <f t="shared" si="11"/>
        <v>0.16263562775737134</v>
      </c>
      <c r="AF18" s="1">
        <f t="shared" si="11"/>
        <v>-0.6762861056866688</v>
      </c>
      <c r="AG18" s="4">
        <f t="shared" si="11"/>
        <v>0.91968831613380009</v>
      </c>
      <c r="AH18" s="4">
        <f t="shared" si="11"/>
        <v>-0.83026595213295684</v>
      </c>
      <c r="AI18" s="1"/>
    </row>
    <row r="21" spans="5:35" x14ac:dyDescent="0.25">
      <c r="E21" t="s">
        <v>0</v>
      </c>
      <c r="F21" t="s">
        <v>33</v>
      </c>
      <c r="G21">
        <v>0.93</v>
      </c>
    </row>
    <row r="22" spans="5:35" x14ac:dyDescent="0.25">
      <c r="E22" t="s">
        <v>28</v>
      </c>
      <c r="F22" t="s">
        <v>34</v>
      </c>
      <c r="G22">
        <v>0.79</v>
      </c>
    </row>
    <row r="23" spans="5:35" x14ac:dyDescent="0.25">
      <c r="E23" t="s">
        <v>29</v>
      </c>
      <c r="F23" t="s">
        <v>33</v>
      </c>
      <c r="G23">
        <v>0.8</v>
      </c>
    </row>
    <row r="24" spans="5:35" x14ac:dyDescent="0.25">
      <c r="E24" t="s">
        <v>30</v>
      </c>
      <c r="F24" t="s">
        <v>35</v>
      </c>
      <c r="G24">
        <v>0.82</v>
      </c>
    </row>
    <row r="25" spans="5:35" x14ac:dyDescent="0.25">
      <c r="E25" t="s">
        <v>31</v>
      </c>
      <c r="F25" t="s">
        <v>33</v>
      </c>
      <c r="G25">
        <v>0.76</v>
      </c>
    </row>
    <row r="26" spans="5:35" x14ac:dyDescent="0.25">
      <c r="E26" t="s">
        <v>32</v>
      </c>
      <c r="F26" t="s">
        <v>36</v>
      </c>
      <c r="G26">
        <v>0.93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Sullivan, Allison</dc:creator>
  <cp:lastModifiedBy>Sullivan, Allison</cp:lastModifiedBy>
  <dcterms:created xsi:type="dcterms:W3CDTF">2026-02-16T15:38:04Z</dcterms:created>
  <dcterms:modified xsi:type="dcterms:W3CDTF">2026-02-23T18:48:46Z</dcterms:modified>
</cp:coreProperties>
</file>