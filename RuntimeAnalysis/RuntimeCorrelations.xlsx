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is\OneDrive\Documents\GitHub\FormulaCompletionSuggestions-Alloy\RuntimeAnalysis\"/>
    </mc:Choice>
  </mc:AlternateContent>
  <xr:revisionPtr revIDLastSave="0" documentId="8_{35DF83C9-87DC-4A6C-A251-3ECB13C18177}" xr6:coauthVersionLast="47" xr6:coauthVersionMax="47" xr10:uidLastSave="{00000000-0000-0000-0000-000000000000}"/>
  <bookViews>
    <workbookView xWindow="-120" yWindow="-120" windowWidth="51840" windowHeight="21120" xr2:uid="{85D158F8-4032-4940-81EC-840D09FE60A0}"/>
  </bookViews>
  <sheets>
    <sheet name="Correlation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0" i="3" l="1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U19" i="3"/>
  <c r="V19" i="3"/>
  <c r="W19" i="3"/>
  <c r="X19" i="3"/>
  <c r="Y19" i="3"/>
  <c r="Z19" i="3"/>
  <c r="AA19" i="3"/>
  <c r="AB19" i="3"/>
  <c r="AC19" i="3"/>
  <c r="AD19" i="3"/>
  <c r="AE19" i="3"/>
  <c r="AF19" i="3"/>
  <c r="AH19" i="3"/>
  <c r="U20" i="3"/>
  <c r="V20" i="3"/>
  <c r="W20" i="3"/>
  <c r="X20" i="3"/>
  <c r="Y20" i="3"/>
  <c r="Z20" i="3"/>
  <c r="AA20" i="3"/>
  <c r="AB20" i="3"/>
  <c r="AC20" i="3"/>
  <c r="AD20" i="3"/>
  <c r="AE20" i="3"/>
  <c r="AF20" i="3"/>
  <c r="AH20" i="3"/>
  <c r="T20" i="3"/>
  <c r="T19" i="3"/>
  <c r="T18" i="3"/>
  <c r="T17" i="3"/>
  <c r="T16" i="3"/>
  <c r="U15" i="3"/>
  <c r="V15" i="3"/>
  <c r="W15" i="3"/>
  <c r="X15" i="3"/>
  <c r="Y15" i="3"/>
  <c r="Z15" i="3"/>
  <c r="AA15" i="3"/>
  <c r="AB15" i="3"/>
  <c r="AC15" i="3"/>
  <c r="AD15" i="3"/>
  <c r="AE15" i="3"/>
  <c r="AF15" i="3"/>
  <c r="AH15" i="3"/>
  <c r="T15" i="3"/>
  <c r="G21" i="3"/>
  <c r="G20" i="3"/>
  <c r="G19" i="3"/>
  <c r="G18" i="3"/>
  <c r="G17" i="3"/>
  <c r="G16" i="3"/>
  <c r="G15" i="3"/>
  <c r="G14" i="3"/>
  <c r="G13" i="3"/>
  <c r="L10" i="3"/>
  <c r="L9" i="3"/>
  <c r="L8" i="3"/>
  <c r="L7" i="3"/>
  <c r="L6" i="3"/>
  <c r="L5" i="3"/>
  <c r="L4" i="3"/>
  <c r="L3" i="3"/>
  <c r="L2" i="3"/>
  <c r="AG15" i="3" l="1"/>
  <c r="AG19" i="3"/>
</calcChain>
</file>

<file path=xl/sharedStrings.xml><?xml version="1.0" encoding="utf-8"?>
<sst xmlns="http://schemas.openxmlformats.org/spreadsheetml/2006/main" count="60" uniqueCount="41">
  <si>
    <t>git</t>
  </si>
  <si>
    <t>icd</t>
  </si>
  <si>
    <t>frankervrep</t>
  </si>
  <si>
    <t>java_meta_model</t>
  </si>
  <si>
    <t>modelo-alloy</t>
  </si>
  <si>
    <t>Total runtime</t>
  </si>
  <si>
    <t>sig</t>
  </si>
  <si>
    <t>abs</t>
  </si>
  <si>
    <t>ext</t>
  </si>
  <si>
    <t>rel</t>
  </si>
  <si>
    <t>airt</t>
  </si>
  <si>
    <t>fact</t>
  </si>
  <si>
    <t>pred</t>
  </si>
  <si>
    <t>func</t>
  </si>
  <si>
    <t>depth</t>
  </si>
  <si>
    <t>parsing</t>
  </si>
  <si>
    <t>gen</t>
  </si>
  <si>
    <t>ranking</t>
  </si>
  <si>
    <t>contrast</t>
  </si>
  <si>
    <t>impact</t>
  </si>
  <si>
    <t>max rel</t>
  </si>
  <si>
    <t>no rel</t>
  </si>
  <si>
    <t>airty</t>
  </si>
  <si>
    <t>some sig</t>
  </si>
  <si>
    <t>types</t>
  </si>
  <si>
    <t>rel / sig</t>
  </si>
  <si>
    <t>% no rel sig</t>
  </si>
  <si>
    <t>ub (rel)</t>
  </si>
  <si>
    <t>hamsters</t>
  </si>
  <si>
    <t>kafka</t>
  </si>
  <si>
    <t>ledger</t>
  </si>
  <si>
    <t>lib</t>
  </si>
  <si>
    <t>hamster</t>
  </si>
  <si>
    <t>p</t>
  </si>
  <si>
    <t>g</t>
  </si>
  <si>
    <t>r</t>
  </si>
  <si>
    <t>c</t>
  </si>
  <si>
    <t>i</t>
  </si>
  <si>
    <t>t</t>
  </si>
  <si>
    <t>rel per sig</t>
  </si>
  <si>
    <t>depth sig facts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</si>
</sst>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Consolas"/>
      <family val="3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0" borderId="0" xfId="0" applyFont="1" applyAlignment="1">
      <alignment vertical="center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E498-55EE-4AB4-A776-F0D97994AFDA}">
  <dimension ref="A1:AK22"/>
  <sheetViews>
    <sheetView tabSelected="1" workbookViewId="0">
      <selection activeCell="P2" sqref="P2"/>
    </sheetView>
  </sheetViews>
  <sheetFormatPr defaultRowHeight="15" x14ac:dyDescent="0.25"/>
  <cols>
    <col min="9" max="9" width="12.7109375" bestFit="1" customWidth="1"/>
    <col min="12" max="16" width="12" bestFit="1" customWidth="1"/>
    <col min="17" max="17" width="11" bestFit="1" customWidth="1"/>
    <col min="19" max="19" width="18.42578125" customWidth="1"/>
  </cols>
  <sheetData>
    <row r="1" spans="1:37" x14ac:dyDescent="0.25">
      <c r="B1" t="s">
        <v>6</v>
      </c>
      <c r="C1" t="s">
        <v>7</v>
      </c>
      <c r="D1" t="s">
        <v>8</v>
      </c>
      <c r="E1" t="s">
        <v>9</v>
      </c>
      <c r="F1" t="s">
        <v>22</v>
      </c>
      <c r="G1" t="s">
        <v>11</v>
      </c>
      <c r="H1" t="s">
        <v>12</v>
      </c>
      <c r="I1" t="s">
        <v>13</v>
      </c>
      <c r="J1" t="s">
        <v>14</v>
      </c>
      <c r="K1" t="s">
        <v>23</v>
      </c>
      <c r="L1" t="s">
        <v>24</v>
      </c>
      <c r="M1" t="s">
        <v>20</v>
      </c>
      <c r="N1" t="s">
        <v>21</v>
      </c>
      <c r="O1" t="s">
        <v>39</v>
      </c>
      <c r="P1" t="s">
        <v>40</v>
      </c>
    </row>
    <row r="2" spans="1:37" x14ac:dyDescent="0.25">
      <c r="A2" s="3" t="s">
        <v>2</v>
      </c>
      <c r="B2">
        <v>52</v>
      </c>
      <c r="C2">
        <v>17</v>
      </c>
      <c r="D2">
        <v>35</v>
      </c>
      <c r="E2">
        <v>16</v>
      </c>
      <c r="F2">
        <v>2.0625</v>
      </c>
      <c r="G2">
        <v>14</v>
      </c>
      <c r="H2">
        <v>3</v>
      </c>
      <c r="I2">
        <v>1</v>
      </c>
      <c r="J2">
        <v>6.8333333333333304</v>
      </c>
      <c r="K2">
        <v>35</v>
      </c>
      <c r="L2">
        <f>B2-D2</f>
        <v>17</v>
      </c>
      <c r="M2">
        <v>3</v>
      </c>
      <c r="N2">
        <v>40</v>
      </c>
      <c r="O2">
        <v>0.43333333333333335</v>
      </c>
      <c r="P2">
        <v>66.75</v>
      </c>
    </row>
    <row r="3" spans="1:37" x14ac:dyDescent="0.25">
      <c r="A3" s="3" t="s">
        <v>0</v>
      </c>
      <c r="B3">
        <v>10</v>
      </c>
      <c r="C3">
        <v>2</v>
      </c>
      <c r="D3">
        <v>6</v>
      </c>
      <c r="E3">
        <v>17</v>
      </c>
      <c r="F3">
        <v>2.2941176470588198</v>
      </c>
      <c r="G3">
        <v>3</v>
      </c>
      <c r="H3">
        <v>103</v>
      </c>
      <c r="I3">
        <v>10</v>
      </c>
      <c r="J3">
        <v>6.6068376068376002</v>
      </c>
      <c r="K3">
        <v>1</v>
      </c>
      <c r="L3">
        <f t="shared" ref="L3:L10" si="0">B3-D3</f>
        <v>4</v>
      </c>
      <c r="M3">
        <v>7</v>
      </c>
      <c r="N3">
        <v>2</v>
      </c>
      <c r="O3">
        <v>0.91304347826086962</v>
      </c>
      <c r="P3">
        <v>12.649122807017539</v>
      </c>
    </row>
    <row r="4" spans="1:37" x14ac:dyDescent="0.25">
      <c r="A4" s="3" t="s">
        <v>32</v>
      </c>
      <c r="B4">
        <v>20</v>
      </c>
      <c r="C4">
        <v>8</v>
      </c>
      <c r="D4">
        <v>18</v>
      </c>
      <c r="E4">
        <v>3</v>
      </c>
      <c r="F4">
        <v>2.0833333333333299</v>
      </c>
      <c r="G4">
        <v>4</v>
      </c>
      <c r="H4">
        <v>12</v>
      </c>
      <c r="I4">
        <v>2</v>
      </c>
      <c r="J4">
        <v>8.55555555555555</v>
      </c>
      <c r="K4">
        <v>2</v>
      </c>
      <c r="L4">
        <f t="shared" si="0"/>
        <v>2</v>
      </c>
      <c r="M4">
        <v>2</v>
      </c>
      <c r="N4">
        <v>17</v>
      </c>
      <c r="O4">
        <v>0.83333333333333337</v>
      </c>
      <c r="P4">
        <v>34.714285714285701</v>
      </c>
    </row>
    <row r="5" spans="1:37" x14ac:dyDescent="0.25">
      <c r="A5" s="3" t="s">
        <v>1</v>
      </c>
      <c r="B5">
        <v>21</v>
      </c>
      <c r="C5">
        <v>4</v>
      </c>
      <c r="D5">
        <v>13</v>
      </c>
      <c r="E5">
        <v>12</v>
      </c>
      <c r="F5">
        <v>2</v>
      </c>
      <c r="G5">
        <v>3</v>
      </c>
      <c r="H5">
        <v>9</v>
      </c>
      <c r="I5">
        <v>0</v>
      </c>
      <c r="J5">
        <v>6.5</v>
      </c>
      <c r="K5">
        <v>8</v>
      </c>
      <c r="L5">
        <f t="shared" si="0"/>
        <v>8</v>
      </c>
      <c r="M5">
        <v>6</v>
      </c>
      <c r="N5">
        <v>15</v>
      </c>
      <c r="O5">
        <v>0.6</v>
      </c>
      <c r="P5">
        <v>27.2222222222222</v>
      </c>
    </row>
    <row r="6" spans="1:37" x14ac:dyDescent="0.25">
      <c r="A6" s="3" t="s">
        <v>3</v>
      </c>
      <c r="B6">
        <v>26</v>
      </c>
      <c r="C6">
        <v>6</v>
      </c>
      <c r="D6">
        <v>18</v>
      </c>
      <c r="E6">
        <v>21</v>
      </c>
      <c r="F6">
        <v>2</v>
      </c>
      <c r="G6">
        <v>5</v>
      </c>
      <c r="H6">
        <v>31</v>
      </c>
      <c r="I6">
        <v>4</v>
      </c>
      <c r="J6">
        <v>7.5250000000000004</v>
      </c>
      <c r="K6">
        <v>8</v>
      </c>
      <c r="L6">
        <f t="shared" si="0"/>
        <v>8</v>
      </c>
      <c r="M6">
        <v>5</v>
      </c>
      <c r="N6">
        <v>19</v>
      </c>
      <c r="O6">
        <v>0.67999999999999994</v>
      </c>
      <c r="P6">
        <v>33.228571428571399</v>
      </c>
    </row>
    <row r="7" spans="1:37" x14ac:dyDescent="0.25">
      <c r="A7" s="3" t="s">
        <v>29</v>
      </c>
      <c r="B7">
        <v>10</v>
      </c>
      <c r="C7">
        <v>1</v>
      </c>
      <c r="D7">
        <v>0</v>
      </c>
      <c r="E7">
        <v>16</v>
      </c>
      <c r="F7">
        <v>2.6666666666666599</v>
      </c>
      <c r="G7">
        <v>7</v>
      </c>
      <c r="H7">
        <v>47</v>
      </c>
      <c r="I7">
        <v>4</v>
      </c>
      <c r="J7">
        <v>7.6551724137930997</v>
      </c>
      <c r="K7">
        <v>1</v>
      </c>
      <c r="L7">
        <f t="shared" si="0"/>
        <v>10</v>
      </c>
      <c r="M7">
        <v>4</v>
      </c>
      <c r="N7">
        <v>2</v>
      </c>
      <c r="O7">
        <v>0.5</v>
      </c>
      <c r="P7">
        <v>22.529411764705799</v>
      </c>
    </row>
    <row r="8" spans="1:37" x14ac:dyDescent="0.25">
      <c r="A8" s="3" t="s">
        <v>30</v>
      </c>
      <c r="B8">
        <v>45</v>
      </c>
      <c r="C8">
        <v>8</v>
      </c>
      <c r="D8">
        <v>21</v>
      </c>
      <c r="E8">
        <v>35</v>
      </c>
      <c r="F8">
        <v>2.1875</v>
      </c>
      <c r="G8">
        <v>34</v>
      </c>
      <c r="H8">
        <v>5</v>
      </c>
      <c r="I8">
        <v>2</v>
      </c>
      <c r="J8">
        <v>7.5609756097560901</v>
      </c>
      <c r="K8">
        <v>12</v>
      </c>
      <c r="L8">
        <f t="shared" si="0"/>
        <v>24</v>
      </c>
      <c r="M8">
        <v>5</v>
      </c>
      <c r="N8">
        <v>33</v>
      </c>
      <c r="O8">
        <v>0.5862068965517242</v>
      </c>
      <c r="P8">
        <v>37.142857142857096</v>
      </c>
    </row>
    <row r="9" spans="1:37" x14ac:dyDescent="0.25">
      <c r="A9" s="3" t="s">
        <v>31</v>
      </c>
      <c r="B9">
        <v>5</v>
      </c>
      <c r="C9">
        <v>0</v>
      </c>
      <c r="D9">
        <v>0</v>
      </c>
      <c r="E9">
        <v>8</v>
      </c>
      <c r="F9">
        <v>2.0571428571428498</v>
      </c>
      <c r="G9">
        <v>1</v>
      </c>
      <c r="H9">
        <v>34</v>
      </c>
      <c r="I9">
        <v>0</v>
      </c>
      <c r="J9">
        <v>6.71428571428571</v>
      </c>
      <c r="K9">
        <v>0</v>
      </c>
      <c r="L9">
        <f t="shared" si="0"/>
        <v>5</v>
      </c>
      <c r="M9">
        <v>5</v>
      </c>
      <c r="N9">
        <v>2</v>
      </c>
      <c r="O9">
        <v>0.375</v>
      </c>
      <c r="P9">
        <v>14.705882352941099</v>
      </c>
    </row>
    <row r="10" spans="1:37" x14ac:dyDescent="0.25">
      <c r="A10" s="3" t="s">
        <v>4</v>
      </c>
      <c r="B10">
        <v>40</v>
      </c>
      <c r="C10">
        <v>4</v>
      </c>
      <c r="D10">
        <v>25</v>
      </c>
      <c r="E10">
        <v>27</v>
      </c>
      <c r="F10">
        <v>2.625</v>
      </c>
      <c r="G10">
        <v>23</v>
      </c>
      <c r="H10">
        <v>7</v>
      </c>
      <c r="I10">
        <v>4</v>
      </c>
      <c r="J10">
        <v>8.3235294117646994</v>
      </c>
      <c r="K10">
        <v>3</v>
      </c>
      <c r="L10">
        <f t="shared" si="0"/>
        <v>15</v>
      </c>
      <c r="M10">
        <v>9</v>
      </c>
      <c r="N10">
        <v>27</v>
      </c>
      <c r="O10">
        <v>0.63414634146341464</v>
      </c>
      <c r="P10">
        <v>28.4545454545454</v>
      </c>
    </row>
    <row r="12" spans="1:37" x14ac:dyDescent="0.25"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</row>
    <row r="13" spans="1:37" x14ac:dyDescent="0.25">
      <c r="A13" t="s">
        <v>2</v>
      </c>
      <c r="B13">
        <v>6</v>
      </c>
      <c r="C13">
        <v>14</v>
      </c>
      <c r="D13" s="2">
        <v>15.75</v>
      </c>
      <c r="E13" s="2">
        <v>227.99</v>
      </c>
      <c r="F13" s="2">
        <v>108</v>
      </c>
      <c r="G13" s="2">
        <f t="shared" ref="G13:G21" si="1">B13+C13+D13+E13+F13</f>
        <v>371.74</v>
      </c>
    </row>
    <row r="14" spans="1:37" x14ac:dyDescent="0.25">
      <c r="A14" t="s">
        <v>0</v>
      </c>
      <c r="B14">
        <v>37</v>
      </c>
      <c r="C14">
        <v>94</v>
      </c>
      <c r="D14" s="2">
        <v>58.26</v>
      </c>
      <c r="E14" s="2">
        <v>86.51</v>
      </c>
      <c r="F14" s="2">
        <v>23</v>
      </c>
      <c r="G14" s="2">
        <f>B14+C14+D14+E14+F14</f>
        <v>298.77</v>
      </c>
      <c r="T14" t="s">
        <v>6</v>
      </c>
      <c r="U14" t="s">
        <v>7</v>
      </c>
      <c r="V14" t="s">
        <v>8</v>
      </c>
      <c r="W14" t="s">
        <v>9</v>
      </c>
      <c r="X14" t="s">
        <v>10</v>
      </c>
      <c r="Y14" t="s">
        <v>11</v>
      </c>
      <c r="Z14" t="s">
        <v>12</v>
      </c>
      <c r="AA14" t="s">
        <v>13</v>
      </c>
      <c r="AB14" t="s">
        <v>14</v>
      </c>
      <c r="AC14" t="s">
        <v>23</v>
      </c>
      <c r="AD14" t="s">
        <v>24</v>
      </c>
      <c r="AE14" t="s">
        <v>27</v>
      </c>
      <c r="AF14" t="s">
        <v>21</v>
      </c>
      <c r="AG14" t="s">
        <v>25</v>
      </c>
      <c r="AH14" t="s">
        <v>26</v>
      </c>
    </row>
    <row r="15" spans="1:37" x14ac:dyDescent="0.25">
      <c r="A15" t="s">
        <v>28</v>
      </c>
      <c r="B15">
        <v>15</v>
      </c>
      <c r="C15">
        <v>236</v>
      </c>
      <c r="D15" s="2">
        <v>100</v>
      </c>
      <c r="E15" s="2">
        <v>666</v>
      </c>
      <c r="F15" s="2">
        <v>95</v>
      </c>
      <c r="G15" s="2">
        <f t="shared" si="1"/>
        <v>1112</v>
      </c>
      <c r="S15" t="s">
        <v>5</v>
      </c>
      <c r="T15" s="1">
        <f>CORREL(B2:B10,$G13:$G21)</f>
        <v>0.10543117275307158</v>
      </c>
      <c r="U15" s="1">
        <f t="shared" ref="U15:AH15" si="2">CORREL(C2:C10,$G13:$G21)</f>
        <v>0.17427803350459486</v>
      </c>
      <c r="V15" s="1">
        <f t="shared" si="2"/>
        <v>0.19275220633919715</v>
      </c>
      <c r="W15" s="1">
        <f t="shared" si="2"/>
        <v>-7.659608701647469E-2</v>
      </c>
      <c r="X15" s="1">
        <f t="shared" si="2"/>
        <v>0.19948695458386836</v>
      </c>
      <c r="Y15" s="1">
        <f t="shared" si="2"/>
        <v>0.17859012143920788</v>
      </c>
      <c r="Z15" s="1">
        <f t="shared" si="2"/>
        <v>-0.2444523616540257</v>
      </c>
      <c r="AA15" s="1">
        <f t="shared" si="2"/>
        <v>3.0288465150553941E-2</v>
      </c>
      <c r="AB15" s="4">
        <f t="shared" si="2"/>
        <v>0.92066210799158155</v>
      </c>
      <c r="AC15" s="1">
        <f t="shared" si="2"/>
        <v>-0.19876898114515595</v>
      </c>
      <c r="AD15" s="1">
        <f t="shared" si="2"/>
        <v>-6.812409628765391E-2</v>
      </c>
      <c r="AE15" s="1">
        <f t="shared" si="2"/>
        <v>-0.42622248872477847</v>
      </c>
      <c r="AF15" s="1">
        <f t="shared" si="2"/>
        <v>0.15415503272212869</v>
      </c>
      <c r="AG15" s="1">
        <f t="shared" si="2"/>
        <v>0.36316323393934052</v>
      </c>
      <c r="AH15" s="1">
        <f t="shared" si="2"/>
        <v>0.15859970556267181</v>
      </c>
      <c r="AI15" s="1"/>
      <c r="AJ15" s="1"/>
      <c r="AK15" s="1"/>
    </row>
    <row r="16" spans="1:37" x14ac:dyDescent="0.25">
      <c r="A16" t="s">
        <v>1</v>
      </c>
      <c r="B16">
        <v>15</v>
      </c>
      <c r="C16">
        <v>4</v>
      </c>
      <c r="D16" s="2">
        <v>14.77</v>
      </c>
      <c r="E16" s="2">
        <v>83.17</v>
      </c>
      <c r="F16" s="2">
        <v>21</v>
      </c>
      <c r="G16" s="2">
        <f>B16+C16+D16+E16+F16</f>
        <v>137.94</v>
      </c>
      <c r="S16" t="s">
        <v>15</v>
      </c>
      <c r="T16" s="1">
        <f>CORREL(B2:B10,$B13:$B21)</f>
        <v>-0.53670300890273037</v>
      </c>
      <c r="U16" s="1">
        <f t="shared" ref="U16:AH16" si="3">CORREL(C2:C10,$B13:$B21)</f>
        <v>-0.48790497428511831</v>
      </c>
      <c r="V16" s="1">
        <f t="shared" si="3"/>
        <v>-0.4942373439424011</v>
      </c>
      <c r="W16" s="1">
        <f t="shared" si="3"/>
        <v>4.0757705325737699E-2</v>
      </c>
      <c r="X16" s="1">
        <f t="shared" si="3"/>
        <v>-4.5033667819595488E-2</v>
      </c>
      <c r="Y16" s="1">
        <f t="shared" si="3"/>
        <v>-0.4061817382325873</v>
      </c>
      <c r="Z16" s="4">
        <f t="shared" si="3"/>
        <v>0.77734140274392005</v>
      </c>
      <c r="AA16" s="1">
        <f t="shared" si="3"/>
        <v>0.70138016068536968</v>
      </c>
      <c r="AB16" s="1">
        <f t="shared" si="3"/>
        <v>-0.18561625275658067</v>
      </c>
      <c r="AC16" s="1">
        <f t="shared" si="3"/>
        <v>-0.47267566201848676</v>
      </c>
      <c r="AD16" s="1">
        <f t="shared" si="3"/>
        <v>-0.45468225404246293</v>
      </c>
      <c r="AE16" s="1">
        <f t="shared" si="3"/>
        <v>0.22066379196693162</v>
      </c>
      <c r="AF16" s="1">
        <f t="shared" si="3"/>
        <v>-0.56771952752503285</v>
      </c>
      <c r="AG16" s="1">
        <f t="shared" si="3"/>
        <v>0.52199749318841282</v>
      </c>
      <c r="AH16" s="1">
        <f t="shared" si="3"/>
        <v>-0.56879265576091154</v>
      </c>
      <c r="AI16" s="1"/>
      <c r="AJ16" s="1"/>
      <c r="AK16" s="1"/>
    </row>
    <row r="17" spans="1:37" x14ac:dyDescent="0.25">
      <c r="A17" t="s">
        <v>3</v>
      </c>
      <c r="B17">
        <v>37</v>
      </c>
      <c r="C17">
        <v>49</v>
      </c>
      <c r="D17" s="2">
        <v>29.75</v>
      </c>
      <c r="E17" s="2">
        <v>443.79</v>
      </c>
      <c r="F17" s="2">
        <v>21</v>
      </c>
      <c r="G17" s="2">
        <f>B17+C17+D17+E17+F17</f>
        <v>580.54</v>
      </c>
      <c r="S17" t="s">
        <v>16</v>
      </c>
      <c r="T17" s="1">
        <f>CORREL(B2:B10,$C13:$C21)</f>
        <v>4.9261838756064311E-2</v>
      </c>
      <c r="U17" s="1">
        <f t="shared" ref="U17:AH17" si="4">CORREL(C2:C10,$C13:$C21)</f>
        <v>0.10295452212799049</v>
      </c>
      <c r="V17" s="1">
        <f t="shared" si="4"/>
        <v>0.2271642958087754</v>
      </c>
      <c r="W17" s="1">
        <f t="shared" si="4"/>
        <v>-0.14802757369942185</v>
      </c>
      <c r="X17" s="1">
        <f t="shared" si="4"/>
        <v>8.3319032081611968E-2</v>
      </c>
      <c r="Y17" s="1">
        <f t="shared" si="4"/>
        <v>8.7073070568130823E-2</v>
      </c>
      <c r="Z17" s="1">
        <f t="shared" si="4"/>
        <v>-4.1770008437406421E-2</v>
      </c>
      <c r="AA17" s="1">
        <f t="shared" si="4"/>
        <v>0.25948067600450681</v>
      </c>
      <c r="AB17" s="1">
        <f t="shared" si="4"/>
        <v>0.73993954589303956</v>
      </c>
      <c r="AC17" s="1">
        <f t="shared" si="4"/>
        <v>-0.29927180835042094</v>
      </c>
      <c r="AD17" s="1">
        <f t="shared" si="4"/>
        <v>-0.25747447970187903</v>
      </c>
      <c r="AE17" s="1">
        <f t="shared" si="4"/>
        <v>-0.10585822383512437</v>
      </c>
      <c r="AF17" s="1">
        <f t="shared" si="4"/>
        <v>9.5746641816717534E-2</v>
      </c>
      <c r="AG17" s="4">
        <f t="shared" si="4"/>
        <v>0.7203089541884613</v>
      </c>
      <c r="AH17" s="1">
        <f t="shared" si="4"/>
        <v>-1.9547633695644436E-2</v>
      </c>
      <c r="AI17" s="1"/>
      <c r="AJ17" s="1"/>
      <c r="AK17" s="1"/>
    </row>
    <row r="18" spans="1:37" x14ac:dyDescent="0.25">
      <c r="A18" t="s">
        <v>29</v>
      </c>
      <c r="B18">
        <v>21</v>
      </c>
      <c r="C18">
        <v>12</v>
      </c>
      <c r="D18" s="2">
        <v>26</v>
      </c>
      <c r="E18" s="2">
        <v>480.87258687258685</v>
      </c>
      <c r="F18" s="2">
        <v>86</v>
      </c>
      <c r="G18" s="2">
        <f t="shared" si="1"/>
        <v>625.87258687258691</v>
      </c>
      <c r="S18" t="s">
        <v>17</v>
      </c>
      <c r="T18" s="1">
        <f>CORREL(B2:B10,$D13:$D21)</f>
        <v>4.2275693829753123E-2</v>
      </c>
      <c r="U18" s="1">
        <f t="shared" ref="U18:AH18" si="5">CORREL(C2:C10,$D13:$D21)</f>
        <v>3.3092733740710693E-2</v>
      </c>
      <c r="V18" s="1">
        <f t="shared" si="5"/>
        <v>0.14176656547230468</v>
      </c>
      <c r="W18" s="1">
        <f t="shared" si="5"/>
        <v>6.5299204279070586E-3</v>
      </c>
      <c r="X18" s="1">
        <f t="shared" si="5"/>
        <v>0.14919596543611077</v>
      </c>
      <c r="Y18" s="1">
        <f t="shared" si="5"/>
        <v>0.22774486602227817</v>
      </c>
      <c r="Z18" s="1">
        <f t="shared" si="5"/>
        <v>3.0128905290340839E-2</v>
      </c>
      <c r="AA18" s="1">
        <f t="shared" si="5"/>
        <v>0.32411303729163904</v>
      </c>
      <c r="AB18" s="1">
        <f t="shared" si="5"/>
        <v>0.70792907145409367</v>
      </c>
      <c r="AC18" s="1">
        <f t="shared" si="5"/>
        <v>-0.35040106120688252</v>
      </c>
      <c r="AD18" s="1">
        <f t="shared" si="5"/>
        <v>-0.13343294032140871</v>
      </c>
      <c r="AE18" s="1">
        <f t="shared" si="5"/>
        <v>-7.0631127640018776E-2</v>
      </c>
      <c r="AF18" s="1">
        <f t="shared" si="5"/>
        <v>6.858676471938896E-2</v>
      </c>
      <c r="AG18" s="4">
        <f t="shared" si="5"/>
        <v>0.7211513365719765</v>
      </c>
      <c r="AH18" s="1">
        <f t="shared" si="5"/>
        <v>-0.10024929591434528</v>
      </c>
      <c r="AI18" s="1"/>
      <c r="AJ18" s="1"/>
      <c r="AK18" s="1"/>
    </row>
    <row r="19" spans="1:37" x14ac:dyDescent="0.25">
      <c r="A19" t="s">
        <v>30</v>
      </c>
      <c r="B19">
        <v>16</v>
      </c>
      <c r="C19">
        <v>68</v>
      </c>
      <c r="D19" s="2">
        <v>60</v>
      </c>
      <c r="E19" s="2">
        <v>384.017094017094</v>
      </c>
      <c r="F19" s="2">
        <v>64</v>
      </c>
      <c r="G19" s="2">
        <f>B19+C19+D19+E19+F19</f>
        <v>592.017094017094</v>
      </c>
      <c r="S19" t="s">
        <v>18</v>
      </c>
      <c r="T19" s="1">
        <f>CORREL(B2:B10,$E13:$E21)</f>
        <v>9.0965817163159171E-2</v>
      </c>
      <c r="U19" s="1">
        <f t="shared" ref="U19:AH19" si="6">CORREL(C2:C10,$E13:$E21)</f>
        <v>0.14325884755168516</v>
      </c>
      <c r="V19" s="1">
        <f t="shared" si="6"/>
        <v>0.13428923863124448</v>
      </c>
      <c r="W19" s="1">
        <f t="shared" si="6"/>
        <v>-3.6926493806869236E-2</v>
      </c>
      <c r="X19" s="1">
        <f t="shared" si="6"/>
        <v>0.19889831764479057</v>
      </c>
      <c r="Y19" s="1">
        <f t="shared" si="6"/>
        <v>0.1664637752789227</v>
      </c>
      <c r="Z19" s="1">
        <f t="shared" si="6"/>
        <v>-0.31663543088650403</v>
      </c>
      <c r="AA19" s="1">
        <f t="shared" si="6"/>
        <v>-9.071130922870016E-2</v>
      </c>
      <c r="AB19" s="4">
        <f t="shared" si="6"/>
        <v>0.89086988547055457</v>
      </c>
      <c r="AC19" s="1">
        <f t="shared" si="6"/>
        <v>-0.1699768535065356</v>
      </c>
      <c r="AD19" s="1">
        <f t="shared" si="6"/>
        <v>-6.083554319865246E-3</v>
      </c>
      <c r="AE19" s="1">
        <f t="shared" si="6"/>
        <v>-0.48723212438411312</v>
      </c>
      <c r="AF19" s="1">
        <f t="shared" si="6"/>
        <v>0.13914278714968986</v>
      </c>
      <c r="AG19" s="1">
        <f t="shared" si="6"/>
        <v>0.16917019334037553</v>
      </c>
      <c r="AH19" s="1">
        <f t="shared" si="6"/>
        <v>0.18350845826429449</v>
      </c>
      <c r="AI19" s="1"/>
      <c r="AJ19" s="1"/>
      <c r="AK19" s="1"/>
    </row>
    <row r="20" spans="1:37" x14ac:dyDescent="0.25">
      <c r="A20" t="s">
        <v>31</v>
      </c>
      <c r="B20">
        <v>19</v>
      </c>
      <c r="C20">
        <v>3</v>
      </c>
      <c r="D20" s="2">
        <v>19</v>
      </c>
      <c r="E20" s="2">
        <v>188.20187793427229</v>
      </c>
      <c r="F20" s="2">
        <v>49</v>
      </c>
      <c r="G20" s="2">
        <f t="shared" si="1"/>
        <v>278.20187793427226</v>
      </c>
      <c r="S20" t="s">
        <v>19</v>
      </c>
      <c r="T20" s="1">
        <f>CORREL(B2:B10,$F13:$F21)</f>
        <v>0.39852132648990335</v>
      </c>
      <c r="U20" s="1">
        <f t="shared" ref="U20:AH20" si="7">CORREL(C2:C10,$F13:$F21)</f>
        <v>0.55446522537554732</v>
      </c>
      <c r="V20" s="1">
        <f t="shared" si="7"/>
        <v>0.3882177130571699</v>
      </c>
      <c r="W20" s="1">
        <f t="shared" si="7"/>
        <v>-0.12224914475252614</v>
      </c>
      <c r="X20" s="1">
        <f t="shared" si="7"/>
        <v>0.24738164388316514</v>
      </c>
      <c r="Y20" s="1">
        <f t="shared" si="7"/>
        <v>0.29678257546857423</v>
      </c>
      <c r="Z20" s="1">
        <f t="shared" si="7"/>
        <v>-0.43071431841431246</v>
      </c>
      <c r="AA20" s="1">
        <f t="shared" si="7"/>
        <v>-0.31007137273282137</v>
      </c>
      <c r="AB20" s="1">
        <f t="shared" si="7"/>
        <v>0.45768030695456413</v>
      </c>
      <c r="AC20" s="1">
        <f t="shared" si="7"/>
        <v>0.42764100634985425</v>
      </c>
      <c r="AD20" s="1">
        <f t="shared" si="7"/>
        <v>0.30267967298538218</v>
      </c>
      <c r="AE20" s="1">
        <f t="shared" si="7"/>
        <v>-0.5842610030119415</v>
      </c>
      <c r="AF20" s="1">
        <f t="shared" si="7"/>
        <v>0.41629925129319656</v>
      </c>
      <c r="AG20" s="1">
        <f t="shared" si="7"/>
        <v>-0.31077327286374612</v>
      </c>
      <c r="AH20" s="4">
        <f t="shared" si="7"/>
        <v>0.60654984207297891</v>
      </c>
      <c r="AI20" s="1"/>
      <c r="AJ20" s="1"/>
      <c r="AK20" s="1"/>
    </row>
    <row r="21" spans="1:37" x14ac:dyDescent="0.25">
      <c r="A21" t="s">
        <v>4</v>
      </c>
      <c r="B21">
        <v>12</v>
      </c>
      <c r="C21">
        <v>122</v>
      </c>
      <c r="D21" s="2">
        <v>58.7</v>
      </c>
      <c r="E21" s="2">
        <v>354.91</v>
      </c>
      <c r="F21" s="2">
        <v>64</v>
      </c>
      <c r="G21" s="2">
        <f t="shared" si="1"/>
        <v>611.61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7" x14ac:dyDescent="0.25"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Sullivan, Allison</dc:creator>
  <cp:lastModifiedBy>Sullivan, Allison</cp:lastModifiedBy>
  <dcterms:created xsi:type="dcterms:W3CDTF">2026-02-16T15:38:04Z</dcterms:created>
  <dcterms:modified xsi:type="dcterms:W3CDTF">2026-07-12T20:16:23Z</dcterms:modified>
</cp:coreProperties>
</file>