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\OneDrive\Desktop\Ready for Github\TemplateRankings\"/>
    </mc:Choice>
  </mc:AlternateContent>
  <xr:revisionPtr revIDLastSave="0" documentId="8_{048E64A9-0196-47AD-B168-D7B55756DF9E}" xr6:coauthVersionLast="47" xr6:coauthVersionMax="47" xr10:uidLastSave="{00000000-0000-0000-0000-000000000000}"/>
  <bookViews>
    <workbookView xWindow="-110" yWindow="-110" windowWidth="38620" windowHeight="21100" xr2:uid="{9BE91128-72F7-4747-BA5A-39321566C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3" i="1"/>
  <c r="H9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H4" i="1"/>
  <c r="H5" i="1"/>
  <c r="H6" i="1"/>
  <c r="G6" i="1"/>
  <c r="G5" i="1"/>
  <c r="F4" i="1"/>
  <c r="G4" i="1"/>
  <c r="G3" i="1"/>
  <c r="F6" i="1"/>
  <c r="F5" i="1"/>
  <c r="F3" i="1"/>
  <c r="C76" i="1"/>
  <c r="C74" i="1"/>
  <c r="C72" i="1"/>
  <c r="C70" i="1"/>
  <c r="C68" i="1"/>
  <c r="C66" i="1"/>
  <c r="C64" i="1"/>
  <c r="C62" i="1"/>
  <c r="C60" i="1"/>
  <c r="C58" i="1"/>
  <c r="C56" i="1"/>
  <c r="C54" i="1"/>
  <c r="C52" i="1"/>
  <c r="C50" i="1"/>
  <c r="C48" i="1"/>
  <c r="C46" i="1"/>
  <c r="C44" i="1"/>
  <c r="C42" i="1"/>
  <c r="C40" i="1"/>
  <c r="C38" i="1"/>
  <c r="C36" i="1"/>
  <c r="C34" i="1"/>
  <c r="C32" i="1"/>
  <c r="C30" i="1"/>
  <c r="C28" i="1"/>
  <c r="C26" i="1"/>
  <c r="C24" i="1"/>
  <c r="C22" i="1"/>
  <c r="C20" i="1"/>
  <c r="C18" i="1"/>
  <c r="C16" i="1"/>
  <c r="C14" i="1"/>
  <c r="C12" i="1"/>
  <c r="C10" i="1"/>
  <c r="C8" i="1"/>
  <c r="C6" i="1"/>
  <c r="C4" i="1"/>
</calcChain>
</file>

<file path=xl/sharedStrings.xml><?xml version="1.0" encoding="utf-8"?>
<sst xmlns="http://schemas.openxmlformats.org/spreadsheetml/2006/main" count="98" uniqueCount="96">
  <si>
    <t>NoRecursive All</t>
  </si>
  <si>
    <t>Less Faulty, A4F - Preds</t>
  </si>
  <si>
    <t>join templates</t>
  </si>
  <si>
    <t>join uses</t>
  </si>
  <si>
    <t>union templates</t>
  </si>
  <si>
    <t>union uses</t>
  </si>
  <si>
    <t>difference templates</t>
  </si>
  <si>
    <t>difference uses</t>
  </si>
  <si>
    <t>intersect templates</t>
  </si>
  <si>
    <t>intersect uses</t>
  </si>
  <si>
    <t>arrow templates</t>
  </si>
  <si>
    <t>arrow uses</t>
  </si>
  <si>
    <t>set_card templates</t>
  </si>
  <si>
    <t>set_card uses</t>
  </si>
  <si>
    <t>transpose templates</t>
  </si>
  <si>
    <t>transpose uses</t>
  </si>
  <si>
    <t>closure templates</t>
  </si>
  <si>
    <t>closure uses</t>
  </si>
  <si>
    <t>rclosure templates</t>
  </si>
  <si>
    <t>rclosure uses</t>
  </si>
  <si>
    <t>domain templates</t>
  </si>
  <si>
    <t>domain uses</t>
  </si>
  <si>
    <t>range templates</t>
  </si>
  <si>
    <t>range uses</t>
  </si>
  <si>
    <t>math_set templates</t>
  </si>
  <si>
    <t>math_set uses</t>
  </si>
  <si>
    <t>and templates</t>
  </si>
  <si>
    <t>and uses</t>
  </si>
  <si>
    <t>or templates</t>
  </si>
  <si>
    <t>or uses</t>
  </si>
  <si>
    <t>implies templates</t>
  </si>
  <si>
    <t>implies uses</t>
  </si>
  <si>
    <t>biconditional templates</t>
  </si>
  <si>
    <t>biconditional uses</t>
  </si>
  <si>
    <t>in templates</t>
  </si>
  <si>
    <t>in uses</t>
  </si>
  <si>
    <t>not_in templates</t>
  </si>
  <si>
    <t>not_in uses</t>
  </si>
  <si>
    <t>equals templates</t>
  </si>
  <si>
    <t>equals uses</t>
  </si>
  <si>
    <t>not_equals templates</t>
  </si>
  <si>
    <t>not_equals uses</t>
  </si>
  <si>
    <t>math_formula templates</t>
  </si>
  <si>
    <t>math_formula uses</t>
  </si>
  <si>
    <t>no templates</t>
  </si>
  <si>
    <t>no uses</t>
  </si>
  <si>
    <t>lone templates</t>
  </si>
  <si>
    <t>lone uses</t>
  </si>
  <si>
    <t>one templates</t>
  </si>
  <si>
    <t>one uses</t>
  </si>
  <si>
    <t>some templates</t>
  </si>
  <si>
    <t>some uses</t>
  </si>
  <si>
    <t>quant_all templates</t>
  </si>
  <si>
    <t>quant_all uses</t>
  </si>
  <si>
    <t>quant_some templates</t>
  </si>
  <si>
    <t>quant_some uses</t>
  </si>
  <si>
    <t>quant_one templates</t>
  </si>
  <si>
    <t>quant_one uses</t>
  </si>
  <si>
    <t>quant_lone templates</t>
  </si>
  <si>
    <t>quant_lone uses</t>
  </si>
  <si>
    <t>quant_no templates</t>
  </si>
  <si>
    <t>quant_no uses</t>
  </si>
  <si>
    <t>let templates</t>
  </si>
  <si>
    <t>let uses</t>
  </si>
  <si>
    <t>if_else templates</t>
  </si>
  <si>
    <t>if_else uses</t>
  </si>
  <si>
    <t>combined_quant templates</t>
  </si>
  <si>
    <t>combined_quant uses</t>
  </si>
  <si>
    <t>combined_rl templates</t>
  </si>
  <si>
    <t>combined_rl uses</t>
  </si>
  <si>
    <t>combined_pl templates</t>
  </si>
  <si>
    <t>combined_pl uses</t>
  </si>
  <si>
    <t>combined_all templates</t>
  </si>
  <si>
    <t>combined_all uses</t>
  </si>
  <si>
    <t>pred templates</t>
  </si>
  <si>
    <t>pred uses</t>
  </si>
  <si>
    <t>Type of Logic</t>
  </si>
  <si>
    <t>First Order</t>
  </si>
  <si>
    <t>Predicate</t>
  </si>
  <si>
    <t>Relational</t>
  </si>
  <si>
    <t>Combined</t>
  </si>
  <si>
    <t>#Form</t>
  </si>
  <si>
    <t>#Temp</t>
  </si>
  <si>
    <t>Operator</t>
  </si>
  <si>
    <t>#Uses</t>
  </si>
  <si>
    <t>Highest</t>
  </si>
  <si>
    <t>cross product</t>
  </si>
  <si>
    <t>join</t>
  </si>
  <si>
    <t>equals</t>
  </si>
  <si>
    <t>not equals</t>
  </si>
  <si>
    <t>in</t>
  </si>
  <si>
    <t>not in</t>
  </si>
  <si>
    <t>difference</t>
  </si>
  <si>
    <t>intersect</t>
  </si>
  <si>
    <t>union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</si>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</sst>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2" fontId="2" fillId="0" borderId="1" xfId="0" applyNumberFormat="1" applyFont="1" applyBorder="1"/>
    <xf numFmtId="2" fontId="1" fillId="0" borderId="1" xfId="0" applyNumberFormat="1" applyFont="1" applyBorder="1"/>
    <xf numFmtId="2" fontId="3" fillId="0" borderId="1" xfId="0" applyNumberFormat="1" applyFont="1" applyBorder="1"/>
    <xf numFmtId="2" fontId="4" fillId="0" borderId="1" xfId="0" applyNumberFormat="1" applyFont="1" applyBorder="1"/>
    <xf numFmtId="0" fontId="1" fillId="0" borderId="0" xfId="0" applyFont="1"/>
    <xf numFmtId="0" fontId="1" fillId="0" borderId="1" xfId="0" applyFont="1" applyFill="1" applyBorder="1"/>
    <xf numFmtId="0" fontId="0" fillId="0" borderId="1" xfId="0" applyFill="1" applyBorder="1"/>
    <xf numFmtId="2" fontId="4" fillId="0" borderId="1" xfId="0" applyNumberFormat="1" applyFont="1" applyFill="1" applyBorder="1"/>
    <xf numFmtId="2" fontId="1" fillId="0" borderId="1" xfId="0" applyNumberFormat="1" applyFont="1" applyFill="1" applyBorder="1"/>
    <xf numFmtId="2" fontId="2" fillId="0" borderId="1" xfId="0" applyNumberFormat="1" applyFont="1" applyFill="1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6FB6-2832-495A-841B-9E77D3D8EF78}">
  <dimension ref="A1:I77"/>
  <sheetViews>
    <sheetView tabSelected="1" workbookViewId="0">
      <selection activeCell="P31" sqref="P31"/>
    </sheetView>
  </sheetViews>
  <sheetFormatPr defaultRowHeight="14.5" x14ac:dyDescent="0.35"/>
  <cols>
    <col min="1" max="1" width="25.26953125" style="11" customWidth="1"/>
  </cols>
  <sheetData>
    <row r="1" spans="1:9" x14ac:dyDescent="0.35">
      <c r="A1"/>
    </row>
    <row r="2" spans="1:9" x14ac:dyDescent="0.35">
      <c r="A2" s="1" t="s">
        <v>0</v>
      </c>
      <c r="B2" s="1"/>
      <c r="C2" s="1"/>
      <c r="E2" s="17" t="s">
        <v>76</v>
      </c>
      <c r="F2" s="17" t="s">
        <v>81</v>
      </c>
      <c r="G2" s="17" t="s">
        <v>82</v>
      </c>
      <c r="H2" s="17" t="s">
        <v>95</v>
      </c>
    </row>
    <row r="3" spans="1:9" x14ac:dyDescent="0.35">
      <c r="A3" s="2" t="s">
        <v>1</v>
      </c>
      <c r="B3" s="3"/>
      <c r="C3" s="4"/>
      <c r="E3" s="5" t="s">
        <v>77</v>
      </c>
      <c r="F3" s="6">
        <f>B69</f>
        <v>7189</v>
      </c>
      <c r="G3" s="6">
        <f>B68</f>
        <v>3567</v>
      </c>
      <c r="H3" s="18">
        <f>F3/G3</f>
        <v>2.0154191197084383</v>
      </c>
    </row>
    <row r="4" spans="1:9" x14ac:dyDescent="0.35">
      <c r="A4" s="5" t="s">
        <v>2</v>
      </c>
      <c r="B4" s="6">
        <v>416</v>
      </c>
      <c r="C4" s="7">
        <f>B4/B5*100</f>
        <v>1.2205856463822546</v>
      </c>
      <c r="E4" s="5" t="s">
        <v>78</v>
      </c>
      <c r="F4" s="6">
        <f>B73</f>
        <v>12139</v>
      </c>
      <c r="G4" s="6">
        <f>B72</f>
        <v>6400</v>
      </c>
      <c r="H4" s="18">
        <f t="shared" ref="H4:H6" si="0">F4/G4</f>
        <v>1.89671875</v>
      </c>
    </row>
    <row r="5" spans="1:9" x14ac:dyDescent="0.35">
      <c r="A5" s="5" t="s">
        <v>3</v>
      </c>
      <c r="B5" s="6">
        <v>34082</v>
      </c>
      <c r="C5" s="8"/>
      <c r="E5" s="5" t="s">
        <v>79</v>
      </c>
      <c r="F5" s="6">
        <f>B71</f>
        <v>76714</v>
      </c>
      <c r="G5" s="6">
        <f>B70</f>
        <v>3658</v>
      </c>
      <c r="H5" s="18">
        <f t="shared" si="0"/>
        <v>20.971569163477309</v>
      </c>
    </row>
    <row r="6" spans="1:9" x14ac:dyDescent="0.35">
      <c r="A6" s="5" t="s">
        <v>4</v>
      </c>
      <c r="B6" s="6">
        <v>250</v>
      </c>
      <c r="C6" s="9">
        <f t="shared" ref="C6" si="1">B6/B7*100</f>
        <v>13.796909492273732</v>
      </c>
      <c r="E6" s="5" t="s">
        <v>80</v>
      </c>
      <c r="F6" s="6">
        <f>B75</f>
        <v>99728</v>
      </c>
      <c r="G6" s="6">
        <f>B74</f>
        <v>15120</v>
      </c>
      <c r="H6" s="18">
        <f t="shared" si="0"/>
        <v>6.5957671957671957</v>
      </c>
    </row>
    <row r="7" spans="1:9" x14ac:dyDescent="0.35">
      <c r="A7" s="5" t="s">
        <v>5</v>
      </c>
      <c r="B7" s="6">
        <v>1812</v>
      </c>
      <c r="C7" s="8"/>
    </row>
    <row r="8" spans="1:9" x14ac:dyDescent="0.35">
      <c r="A8" s="5" t="s">
        <v>6</v>
      </c>
      <c r="B8" s="6">
        <v>181</v>
      </c>
      <c r="C8" s="9">
        <f t="shared" ref="C8" si="2">B8/B9*100</f>
        <v>17.885375494071145</v>
      </c>
      <c r="E8" s="17" t="s">
        <v>83</v>
      </c>
      <c r="F8" s="17" t="s">
        <v>84</v>
      </c>
      <c r="G8" s="17" t="s">
        <v>82</v>
      </c>
      <c r="H8" s="17" t="s">
        <v>95</v>
      </c>
      <c r="I8" s="17" t="s">
        <v>85</v>
      </c>
    </row>
    <row r="9" spans="1:9" x14ac:dyDescent="0.35">
      <c r="A9" s="5" t="s">
        <v>7</v>
      </c>
      <c r="B9" s="6">
        <v>1012</v>
      </c>
      <c r="C9" s="8"/>
      <c r="E9" s="5" t="s">
        <v>86</v>
      </c>
      <c r="F9" s="6">
        <f>B13</f>
        <v>1574</v>
      </c>
      <c r="G9" s="6">
        <f>B12</f>
        <v>56</v>
      </c>
      <c r="H9" s="18">
        <f>F9/G9</f>
        <v>28.107142857142858</v>
      </c>
      <c r="I9" s="18">
        <v>81</v>
      </c>
    </row>
    <row r="10" spans="1:9" x14ac:dyDescent="0.35">
      <c r="A10" s="5" t="s">
        <v>8</v>
      </c>
      <c r="B10" s="6">
        <v>169</v>
      </c>
      <c r="C10" s="9">
        <f t="shared" ref="C10" si="3">B10/B11*100</f>
        <v>20.787207872078721</v>
      </c>
      <c r="E10" s="5" t="s">
        <v>87</v>
      </c>
      <c r="F10" s="6">
        <f>B5</f>
        <v>34082</v>
      </c>
      <c r="G10" s="6">
        <f>B4</f>
        <v>416</v>
      </c>
      <c r="H10" s="18">
        <f t="shared" ref="H10:H17" si="4">F10/G10</f>
        <v>81.927884615384613</v>
      </c>
      <c r="I10" s="18">
        <v>64.88</v>
      </c>
    </row>
    <row r="11" spans="1:9" x14ac:dyDescent="0.35">
      <c r="A11" s="5" t="s">
        <v>9</v>
      </c>
      <c r="B11" s="6">
        <v>813</v>
      </c>
      <c r="C11" s="8"/>
      <c r="E11" s="5" t="s">
        <v>88</v>
      </c>
      <c r="F11" s="6">
        <f>B41</f>
        <v>20215</v>
      </c>
      <c r="G11" s="6">
        <f>B40</f>
        <v>1223</v>
      </c>
      <c r="H11" s="18">
        <f t="shared" si="4"/>
        <v>16.529026982829109</v>
      </c>
      <c r="I11" s="18">
        <v>27.49</v>
      </c>
    </row>
    <row r="12" spans="1:9" x14ac:dyDescent="0.35">
      <c r="A12" s="5" t="s">
        <v>10</v>
      </c>
      <c r="B12" s="6">
        <v>56</v>
      </c>
      <c r="C12" s="7">
        <f t="shared" ref="C12" si="5">B12/B13*100</f>
        <v>3.5578144853875475</v>
      </c>
      <c r="E12" s="5" t="s">
        <v>89</v>
      </c>
      <c r="F12" s="6">
        <f>B43</f>
        <v>1158</v>
      </c>
      <c r="G12" s="6">
        <f>B42</f>
        <v>112</v>
      </c>
      <c r="H12" s="18">
        <f t="shared" si="4"/>
        <v>10.339285714285714</v>
      </c>
      <c r="I12" s="18">
        <v>29.62</v>
      </c>
    </row>
    <row r="13" spans="1:9" x14ac:dyDescent="0.35">
      <c r="A13" s="5" t="s">
        <v>11</v>
      </c>
      <c r="B13" s="6">
        <v>1574</v>
      </c>
      <c r="C13" s="8"/>
      <c r="E13" s="5" t="s">
        <v>90</v>
      </c>
      <c r="F13" s="6">
        <f>B37</f>
        <v>7689</v>
      </c>
      <c r="G13" s="6">
        <f>B36</f>
        <v>603</v>
      </c>
      <c r="H13" s="18">
        <f t="shared" si="4"/>
        <v>12.751243781094526</v>
      </c>
      <c r="I13" s="6">
        <v>19.77</v>
      </c>
    </row>
    <row r="14" spans="1:9" x14ac:dyDescent="0.35">
      <c r="A14" s="5" t="s">
        <v>12</v>
      </c>
      <c r="B14" s="6">
        <v>120</v>
      </c>
      <c r="C14" s="7">
        <f t="shared" ref="C14" si="6">B14/B15*100</f>
        <v>2.9644268774703555</v>
      </c>
      <c r="E14" s="5" t="s">
        <v>91</v>
      </c>
      <c r="F14" s="6">
        <f>B39</f>
        <v>979</v>
      </c>
      <c r="G14" s="6">
        <f>B38</f>
        <v>124</v>
      </c>
      <c r="H14" s="18">
        <f t="shared" si="4"/>
        <v>7.895161290322581</v>
      </c>
      <c r="I14" s="18">
        <v>28.19</v>
      </c>
    </row>
    <row r="15" spans="1:9" x14ac:dyDescent="0.35">
      <c r="A15" s="5" t="s">
        <v>13</v>
      </c>
      <c r="B15" s="6">
        <v>4048</v>
      </c>
      <c r="C15" s="8"/>
      <c r="E15" s="5" t="s">
        <v>92</v>
      </c>
      <c r="F15" s="6">
        <f>B9</f>
        <v>1012</v>
      </c>
      <c r="G15" s="6">
        <f>B8</f>
        <v>181</v>
      </c>
      <c r="H15" s="18">
        <f t="shared" si="4"/>
        <v>5.5911602209944755</v>
      </c>
      <c r="I15" s="6">
        <v>21.44</v>
      </c>
    </row>
    <row r="16" spans="1:9" x14ac:dyDescent="0.35">
      <c r="A16" s="5" t="s">
        <v>14</v>
      </c>
      <c r="B16" s="6">
        <v>9</v>
      </c>
      <c r="C16" s="9">
        <f t="shared" ref="C16" si="7">B16/B17*100</f>
        <v>24.324324324324326</v>
      </c>
      <c r="E16" s="5" t="s">
        <v>93</v>
      </c>
      <c r="F16" s="6">
        <f>B11</f>
        <v>813</v>
      </c>
      <c r="G16" s="6">
        <f>B10</f>
        <v>169</v>
      </c>
      <c r="H16" s="18">
        <f t="shared" si="4"/>
        <v>4.8106508875739644</v>
      </c>
      <c r="I16" s="6">
        <v>6.15</v>
      </c>
    </row>
    <row r="17" spans="1:9" x14ac:dyDescent="0.35">
      <c r="A17" s="5" t="s">
        <v>15</v>
      </c>
      <c r="B17" s="6">
        <v>37</v>
      </c>
      <c r="C17" s="8"/>
      <c r="E17" s="5" t="s">
        <v>94</v>
      </c>
      <c r="F17" s="6">
        <f>B7</f>
        <v>1812</v>
      </c>
      <c r="G17" s="6">
        <f>B6</f>
        <v>250</v>
      </c>
      <c r="H17" s="18">
        <f t="shared" si="4"/>
        <v>7.2480000000000002</v>
      </c>
      <c r="I17" s="6">
        <v>14.74</v>
      </c>
    </row>
    <row r="18" spans="1:9" x14ac:dyDescent="0.35">
      <c r="A18" s="5" t="s">
        <v>16</v>
      </c>
      <c r="B18" s="6">
        <v>12</v>
      </c>
      <c r="C18" s="9">
        <f t="shared" ref="C18" si="8">B18/B19*100</f>
        <v>12.371134020618557</v>
      </c>
    </row>
    <row r="19" spans="1:9" x14ac:dyDescent="0.35">
      <c r="A19" s="5" t="s">
        <v>17</v>
      </c>
      <c r="B19" s="6">
        <v>97</v>
      </c>
      <c r="C19" s="8"/>
    </row>
    <row r="20" spans="1:9" x14ac:dyDescent="0.35">
      <c r="A20" s="5" t="s">
        <v>18</v>
      </c>
      <c r="B20" s="6">
        <v>5</v>
      </c>
      <c r="C20" s="9">
        <f t="shared" ref="C20" si="9">B20/B21*100</f>
        <v>26.315789473684209</v>
      </c>
    </row>
    <row r="21" spans="1:9" x14ac:dyDescent="0.35">
      <c r="A21" s="5" t="s">
        <v>19</v>
      </c>
      <c r="B21" s="6">
        <v>19</v>
      </c>
      <c r="C21" s="8"/>
    </row>
    <row r="22" spans="1:9" x14ac:dyDescent="0.35">
      <c r="A22" s="5" t="s">
        <v>20</v>
      </c>
      <c r="B22" s="6">
        <v>16</v>
      </c>
      <c r="C22" s="9">
        <f t="shared" ref="C22" si="10">B22/B23*100</f>
        <v>40</v>
      </c>
    </row>
    <row r="23" spans="1:9" x14ac:dyDescent="0.35">
      <c r="A23" s="5" t="s">
        <v>21</v>
      </c>
      <c r="B23" s="6">
        <v>40</v>
      </c>
      <c r="C23" s="8"/>
    </row>
    <row r="24" spans="1:9" x14ac:dyDescent="0.35">
      <c r="A24" s="5" t="s">
        <v>22</v>
      </c>
      <c r="B24" s="6">
        <v>10</v>
      </c>
      <c r="C24" s="9">
        <f t="shared" ref="C24" si="11">B24/B25*100</f>
        <v>14.705882352941178</v>
      </c>
    </row>
    <row r="25" spans="1:9" x14ac:dyDescent="0.35">
      <c r="A25" s="5" t="s">
        <v>23</v>
      </c>
      <c r="B25" s="6">
        <v>68</v>
      </c>
      <c r="C25" s="8"/>
    </row>
    <row r="26" spans="1:9" x14ac:dyDescent="0.35">
      <c r="A26" s="5" t="s">
        <v>24</v>
      </c>
      <c r="B26" s="6">
        <v>5</v>
      </c>
      <c r="C26" s="10">
        <f t="shared" ref="C26" si="12">B26/B27*100</f>
        <v>55.555555555555557</v>
      </c>
    </row>
    <row r="27" spans="1:9" x14ac:dyDescent="0.35">
      <c r="A27" s="5" t="s">
        <v>25</v>
      </c>
      <c r="B27" s="6">
        <v>9</v>
      </c>
      <c r="C27" s="8"/>
    </row>
    <row r="28" spans="1:9" x14ac:dyDescent="0.35">
      <c r="A28" s="5" t="s">
        <v>26</v>
      </c>
      <c r="B28" s="6">
        <v>4792</v>
      </c>
      <c r="C28" s="10">
        <f t="shared" ref="C28" si="13">B28/B29*100</f>
        <v>53.11460873420527</v>
      </c>
    </row>
    <row r="29" spans="1:9" x14ac:dyDescent="0.35">
      <c r="A29" s="5" t="s">
        <v>27</v>
      </c>
      <c r="B29" s="6">
        <v>9022</v>
      </c>
      <c r="C29" s="8"/>
    </row>
    <row r="30" spans="1:9" x14ac:dyDescent="0.35">
      <c r="A30" s="5" t="s">
        <v>28</v>
      </c>
      <c r="B30" s="6">
        <v>531</v>
      </c>
      <c r="C30" s="10">
        <f t="shared" ref="C30" si="14">B30/B31*100</f>
        <v>43.956953642384107</v>
      </c>
    </row>
    <row r="31" spans="1:9" x14ac:dyDescent="0.35">
      <c r="A31" s="5" t="s">
        <v>29</v>
      </c>
      <c r="B31" s="6">
        <v>1208</v>
      </c>
      <c r="C31" s="8"/>
    </row>
    <row r="32" spans="1:9" x14ac:dyDescent="0.35">
      <c r="A32" s="5" t="s">
        <v>30</v>
      </c>
      <c r="B32" s="6">
        <v>975</v>
      </c>
      <c r="C32" s="10">
        <f t="shared" ref="C32" si="15">B32/B33*100</f>
        <v>55.714285714285715</v>
      </c>
    </row>
    <row r="33" spans="1:3" x14ac:dyDescent="0.35">
      <c r="A33" s="5" t="s">
        <v>31</v>
      </c>
      <c r="B33" s="6">
        <v>1750</v>
      </c>
      <c r="C33" s="8"/>
    </row>
    <row r="34" spans="1:3" x14ac:dyDescent="0.35">
      <c r="A34" s="5" t="s">
        <v>32</v>
      </c>
      <c r="B34" s="6">
        <v>102</v>
      </c>
      <c r="C34" s="10">
        <f t="shared" ref="C34" si="16">B34/B35*100</f>
        <v>64.15094339622641</v>
      </c>
    </row>
    <row r="35" spans="1:3" x14ac:dyDescent="0.35">
      <c r="A35" s="5" t="s">
        <v>33</v>
      </c>
      <c r="B35" s="6">
        <v>159</v>
      </c>
      <c r="C35" s="8"/>
    </row>
    <row r="36" spans="1:3" x14ac:dyDescent="0.35">
      <c r="A36" s="5" t="s">
        <v>34</v>
      </c>
      <c r="B36" s="6">
        <v>603</v>
      </c>
      <c r="C36" s="7">
        <f t="shared" ref="C36:C62" si="17">B36/B37*100</f>
        <v>7.8423722200546235</v>
      </c>
    </row>
    <row r="37" spans="1:3" x14ac:dyDescent="0.35">
      <c r="A37" s="5" t="s">
        <v>35</v>
      </c>
      <c r="B37" s="6">
        <v>7689</v>
      </c>
      <c r="C37" s="8"/>
    </row>
    <row r="38" spans="1:3" x14ac:dyDescent="0.35">
      <c r="A38" s="5" t="s">
        <v>36</v>
      </c>
      <c r="B38" s="6">
        <v>124</v>
      </c>
      <c r="C38" s="9">
        <f t="shared" ref="C38:C64" si="18">B38/B39*100</f>
        <v>12.665985699693566</v>
      </c>
    </row>
    <row r="39" spans="1:3" x14ac:dyDescent="0.35">
      <c r="A39" s="5" t="s">
        <v>37</v>
      </c>
      <c r="B39" s="6">
        <v>979</v>
      </c>
      <c r="C39" s="8"/>
    </row>
    <row r="40" spans="1:3" x14ac:dyDescent="0.35">
      <c r="A40" s="5" t="s">
        <v>38</v>
      </c>
      <c r="B40" s="6">
        <v>1223</v>
      </c>
      <c r="C40" s="7">
        <f t="shared" ref="C40:C66" si="19">B40/B41*100</f>
        <v>6.0499628988374976</v>
      </c>
    </row>
    <row r="41" spans="1:3" x14ac:dyDescent="0.35">
      <c r="A41" s="5" t="s">
        <v>39</v>
      </c>
      <c r="B41" s="6">
        <v>20215</v>
      </c>
      <c r="C41" s="8"/>
    </row>
    <row r="42" spans="1:3" x14ac:dyDescent="0.35">
      <c r="A42" s="5" t="s">
        <v>40</v>
      </c>
      <c r="B42" s="6">
        <v>112</v>
      </c>
      <c r="C42" s="7">
        <f t="shared" ref="C42:C68" si="20">B42/B43*100</f>
        <v>9.6718480138169269</v>
      </c>
    </row>
    <row r="43" spans="1:3" x14ac:dyDescent="0.35">
      <c r="A43" s="5" t="s">
        <v>41</v>
      </c>
      <c r="B43" s="6">
        <v>1158</v>
      </c>
      <c r="C43" s="8"/>
    </row>
    <row r="44" spans="1:3" x14ac:dyDescent="0.35">
      <c r="A44" s="5" t="s">
        <v>42</v>
      </c>
      <c r="B44" s="6">
        <v>412</v>
      </c>
      <c r="C44" s="9">
        <f t="shared" ref="C44:C70" si="21">B44/B45*100</f>
        <v>19.461502125649506</v>
      </c>
    </row>
    <row r="45" spans="1:3" x14ac:dyDescent="0.35">
      <c r="A45" s="5" t="s">
        <v>43</v>
      </c>
      <c r="B45" s="6">
        <v>2117</v>
      </c>
      <c r="C45" s="8"/>
    </row>
    <row r="46" spans="1:3" x14ac:dyDescent="0.35">
      <c r="A46" s="5" t="s">
        <v>44</v>
      </c>
      <c r="B46" s="6">
        <v>160</v>
      </c>
      <c r="C46" s="9">
        <f t="shared" ref="C46:C72" si="22">B46/B47*100</f>
        <v>10.596026490066226</v>
      </c>
    </row>
    <row r="47" spans="1:3" x14ac:dyDescent="0.35">
      <c r="A47" s="5" t="s">
        <v>45</v>
      </c>
      <c r="B47" s="6">
        <v>1510</v>
      </c>
      <c r="C47" s="8"/>
    </row>
    <row r="48" spans="1:3" x14ac:dyDescent="0.35">
      <c r="A48" s="5" t="s">
        <v>46</v>
      </c>
      <c r="B48" s="6">
        <v>29</v>
      </c>
      <c r="C48" s="10">
        <f t="shared" ref="C48:C74" si="23">B48/B49*100</f>
        <v>22.834645669291341</v>
      </c>
    </row>
    <row r="49" spans="1:3" x14ac:dyDescent="0.35">
      <c r="A49" s="5" t="s">
        <v>47</v>
      </c>
      <c r="B49" s="6">
        <v>127</v>
      </c>
      <c r="C49" s="8"/>
    </row>
    <row r="50" spans="1:3" x14ac:dyDescent="0.35">
      <c r="A50" s="5" t="s">
        <v>48</v>
      </c>
      <c r="B50" s="6">
        <v>43</v>
      </c>
      <c r="C50" s="9">
        <f t="shared" ref="C50:C76" si="24">B50/B51*100</f>
        <v>10.213776722090261</v>
      </c>
    </row>
    <row r="51" spans="1:3" x14ac:dyDescent="0.35">
      <c r="A51" s="5" t="s">
        <v>49</v>
      </c>
      <c r="B51" s="6">
        <v>421</v>
      </c>
      <c r="C51" s="8"/>
    </row>
    <row r="52" spans="1:3" x14ac:dyDescent="0.35">
      <c r="A52" s="5" t="s">
        <v>50</v>
      </c>
      <c r="B52" s="6">
        <v>120</v>
      </c>
      <c r="C52" s="9">
        <f t="shared" ref="C52" si="25">B52/B53*100</f>
        <v>11.846001974333662</v>
      </c>
    </row>
    <row r="53" spans="1:3" x14ac:dyDescent="0.35">
      <c r="A53" s="5" t="s">
        <v>51</v>
      </c>
      <c r="B53" s="6">
        <v>1013</v>
      </c>
      <c r="C53" s="8"/>
    </row>
    <row r="54" spans="1:3" x14ac:dyDescent="0.35">
      <c r="A54" s="5" t="s">
        <v>52</v>
      </c>
      <c r="B54" s="6">
        <v>1781</v>
      </c>
      <c r="C54" s="10">
        <f t="shared" ref="C54" si="26">B54/B55*100</f>
        <v>47.442727757059139</v>
      </c>
    </row>
    <row r="55" spans="1:3" x14ac:dyDescent="0.35">
      <c r="A55" s="5" t="s">
        <v>53</v>
      </c>
      <c r="B55" s="6">
        <v>3754</v>
      </c>
      <c r="C55" s="8"/>
    </row>
    <row r="56" spans="1:3" x14ac:dyDescent="0.35">
      <c r="A56" s="5" t="s">
        <v>54</v>
      </c>
      <c r="B56" s="6">
        <v>1256</v>
      </c>
      <c r="C56" s="10">
        <f t="shared" ref="C56" si="27">B56/B57*100</f>
        <v>51.202609050142676</v>
      </c>
    </row>
    <row r="57" spans="1:3" x14ac:dyDescent="0.35">
      <c r="A57" s="5" t="s">
        <v>55</v>
      </c>
      <c r="B57" s="6">
        <v>2453</v>
      </c>
      <c r="C57" s="8"/>
    </row>
    <row r="58" spans="1:3" x14ac:dyDescent="0.35">
      <c r="A58" s="5" t="s">
        <v>56</v>
      </c>
      <c r="B58" s="6">
        <v>353</v>
      </c>
      <c r="C58" s="10">
        <f t="shared" ref="C58" si="28">B58/B59*100</f>
        <v>58.833333333333336</v>
      </c>
    </row>
    <row r="59" spans="1:3" x14ac:dyDescent="0.35">
      <c r="A59" s="5" t="s">
        <v>57</v>
      </c>
      <c r="B59" s="6">
        <v>600</v>
      </c>
      <c r="C59" s="8"/>
    </row>
    <row r="60" spans="1:3" x14ac:dyDescent="0.35">
      <c r="A60" s="5" t="s">
        <v>58</v>
      </c>
      <c r="B60" s="6">
        <v>10</v>
      </c>
      <c r="C60" s="10">
        <f t="shared" ref="C60" si="29">B60/B61*100</f>
        <v>41.666666666666671</v>
      </c>
    </row>
    <row r="61" spans="1:3" x14ac:dyDescent="0.35">
      <c r="A61" s="5" t="s">
        <v>59</v>
      </c>
      <c r="B61" s="6">
        <v>24</v>
      </c>
      <c r="C61" s="8"/>
    </row>
    <row r="62" spans="1:3" x14ac:dyDescent="0.35">
      <c r="A62" s="5" t="s">
        <v>60</v>
      </c>
      <c r="B62" s="6">
        <v>167</v>
      </c>
      <c r="C62" s="10">
        <f t="shared" si="17"/>
        <v>46.648044692737429</v>
      </c>
    </row>
    <row r="63" spans="1:3" x14ac:dyDescent="0.35">
      <c r="A63" s="5" t="s">
        <v>61</v>
      </c>
      <c r="B63" s="6">
        <v>358</v>
      </c>
      <c r="C63" s="8"/>
    </row>
    <row r="64" spans="1:3" x14ac:dyDescent="0.35">
      <c r="A64" s="5" t="s">
        <v>62</v>
      </c>
      <c r="B64" s="6">
        <v>778</v>
      </c>
      <c r="C64" s="10">
        <f t="shared" si="18"/>
        <v>64.779350541215649</v>
      </c>
    </row>
    <row r="65" spans="1:3" x14ac:dyDescent="0.35">
      <c r="A65" s="5" t="s">
        <v>63</v>
      </c>
      <c r="B65" s="6">
        <v>1201</v>
      </c>
      <c r="C65" s="8"/>
    </row>
    <row r="66" spans="1:3" x14ac:dyDescent="0.35">
      <c r="A66" s="5" t="s">
        <v>64</v>
      </c>
      <c r="B66" s="6">
        <v>300</v>
      </c>
      <c r="C66" s="10">
        <f t="shared" si="19"/>
        <v>83.565459610027858</v>
      </c>
    </row>
    <row r="67" spans="1:3" x14ac:dyDescent="0.35">
      <c r="A67" s="5" t="s">
        <v>65</v>
      </c>
      <c r="B67" s="6">
        <v>359</v>
      </c>
      <c r="C67" s="8"/>
    </row>
    <row r="68" spans="1:3" x14ac:dyDescent="0.35">
      <c r="A68" s="12" t="s">
        <v>66</v>
      </c>
      <c r="B68" s="13">
        <v>3567</v>
      </c>
      <c r="C68" s="14">
        <f t="shared" si="20"/>
        <v>49.617471136458477</v>
      </c>
    </row>
    <row r="69" spans="1:3" x14ac:dyDescent="0.35">
      <c r="A69" s="12" t="s">
        <v>67</v>
      </c>
      <c r="B69" s="13">
        <v>7189</v>
      </c>
      <c r="C69" s="15"/>
    </row>
    <row r="70" spans="1:3" x14ac:dyDescent="0.35">
      <c r="A70" s="12" t="s">
        <v>68</v>
      </c>
      <c r="B70" s="13">
        <v>3658</v>
      </c>
      <c r="C70" s="16">
        <f t="shared" si="21"/>
        <v>4.7683604035769216</v>
      </c>
    </row>
    <row r="71" spans="1:3" x14ac:dyDescent="0.35">
      <c r="A71" s="12" t="s">
        <v>69</v>
      </c>
      <c r="B71" s="13">
        <v>76714</v>
      </c>
      <c r="C71" s="15"/>
    </row>
    <row r="72" spans="1:3" x14ac:dyDescent="0.35">
      <c r="A72" s="12" t="s">
        <v>70</v>
      </c>
      <c r="B72" s="13">
        <v>6400</v>
      </c>
      <c r="C72" s="14">
        <f t="shared" si="22"/>
        <v>52.722629541148372</v>
      </c>
    </row>
    <row r="73" spans="1:3" x14ac:dyDescent="0.35">
      <c r="A73" s="12" t="s">
        <v>71</v>
      </c>
      <c r="B73" s="13">
        <v>12139</v>
      </c>
      <c r="C73" s="15"/>
    </row>
    <row r="74" spans="1:3" x14ac:dyDescent="0.35">
      <c r="A74" s="5" t="s">
        <v>72</v>
      </c>
      <c r="B74" s="6">
        <v>15120</v>
      </c>
      <c r="C74" s="9">
        <f t="shared" si="23"/>
        <v>15.161238568907429</v>
      </c>
    </row>
    <row r="75" spans="1:3" x14ac:dyDescent="0.35">
      <c r="A75" s="5" t="s">
        <v>73</v>
      </c>
      <c r="B75" s="6">
        <v>99728</v>
      </c>
      <c r="C75" s="8"/>
    </row>
    <row r="76" spans="1:3" x14ac:dyDescent="0.35">
      <c r="A76" s="5" t="s">
        <v>74</v>
      </c>
      <c r="B76" s="6">
        <v>5043</v>
      </c>
      <c r="C76" s="10">
        <f t="shared" si="24"/>
        <v>46.53501891667436</v>
      </c>
    </row>
    <row r="77" spans="1:3" x14ac:dyDescent="0.35">
      <c r="A77" s="5" t="s">
        <v>75</v>
      </c>
      <c r="B77" s="6">
        <v>10837</v>
      </c>
      <c r="C77" s="8"/>
    </row>
  </sheetData>
  <mergeCells count="2"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Allison</dc:creator>
  <cp:lastModifiedBy>Sullivan, Allison</cp:lastModifiedBy>
  <dcterms:created xsi:type="dcterms:W3CDTF">2025-09-11T20:22:23Z</dcterms:created>
  <dcterms:modified xsi:type="dcterms:W3CDTF">2025-09-11T20:40:53Z</dcterms:modified>
</cp:coreProperties>
</file>