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lis\OneDrive\Desktop\TemplateRankings\Rankings\results\"/>
    </mc:Choice>
  </mc:AlternateContent>
  <xr:revisionPtr revIDLastSave="0" documentId="13_ncr:1_{50664C23-8B4C-49EC-A856-C92DFA8925E5}" xr6:coauthVersionLast="47" xr6:coauthVersionMax="47" xr10:uidLastSave="{00000000-0000-0000-0000-000000000000}"/>
  <bookViews>
    <workbookView xWindow="-38510" yWindow="-3510" windowWidth="38620" windowHeight="21100" xr2:uid="{C464C8E2-BA16-4143-86DF-5FCF38022D0F}"/>
  </bookViews>
  <sheets>
    <sheet name="overall" sheetId="4" r:id="rId1"/>
    <sheet name="accuracy details" sheetId="14" r:id="rId2"/>
    <sheet name="performance" sheetId="16" r:id="rId3"/>
    <sheet name="llm - syn -len-alpha" sheetId="13" r:id="rId4"/>
    <sheet name="llm first - length - alpha" sheetId="12" r:id="rId5"/>
    <sheet name="formula - syn - len alpha" sheetId="2" r:id="rId6"/>
    <sheet name="formula - first - len - alpha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4" l="1"/>
  <c r="E12" i="14"/>
  <c r="D11" i="14"/>
  <c r="D12" i="14"/>
  <c r="C11" i="14"/>
  <c r="C12" i="14"/>
  <c r="U4" i="14"/>
  <c r="J12" i="14" s="1"/>
  <c r="U3" i="14"/>
  <c r="J11" i="14" s="1"/>
  <c r="U2" i="14"/>
  <c r="J10" i="14" s="1"/>
  <c r="L5" i="16"/>
  <c r="H5" i="16"/>
  <c r="K5" i="16"/>
  <c r="E5" i="16"/>
  <c r="C5" i="16"/>
  <c r="D5" i="16"/>
  <c r="F5" i="16"/>
  <c r="G5" i="16"/>
  <c r="I5" i="16"/>
  <c r="J5" i="16"/>
  <c r="B5" i="16"/>
  <c r="K3" i="16"/>
  <c r="K4" i="16"/>
  <c r="K2" i="16"/>
  <c r="H3" i="16"/>
  <c r="H4" i="16"/>
  <c r="H2" i="16"/>
  <c r="G3" i="16"/>
  <c r="G4" i="16"/>
  <c r="G2" i="16"/>
  <c r="E3" i="16"/>
  <c r="E4" i="16"/>
  <c r="E2" i="16"/>
  <c r="I24" i="4"/>
  <c r="G11" i="14"/>
  <c r="H11" i="14"/>
  <c r="I11" i="14"/>
  <c r="G12" i="14"/>
  <c r="H12" i="14"/>
  <c r="I12" i="14"/>
  <c r="I10" i="14"/>
  <c r="R5" i="14"/>
  <c r="S5" i="14"/>
  <c r="H13" i="14" s="1"/>
  <c r="T5" i="14"/>
  <c r="H10" i="14"/>
  <c r="G10" i="14"/>
  <c r="C10" i="14"/>
  <c r="D10" i="14"/>
  <c r="E10" i="14"/>
  <c r="J3" i="14"/>
  <c r="F11" i="14" s="1"/>
  <c r="J4" i="14"/>
  <c r="F12" i="14" s="1"/>
  <c r="J2" i="14"/>
  <c r="F10" i="14" s="1"/>
  <c r="H5" i="14"/>
  <c r="I5" i="14"/>
  <c r="B13" i="14"/>
  <c r="E5" i="14"/>
  <c r="P5" i="14"/>
  <c r="Q5" i="14"/>
  <c r="I13" i="14" s="1"/>
  <c r="O5" i="14"/>
  <c r="N5" i="14"/>
  <c r="M5" i="14"/>
  <c r="G13" i="14" s="1"/>
  <c r="D5" i="14"/>
  <c r="F5" i="14"/>
  <c r="G5" i="14"/>
  <c r="C5" i="14"/>
  <c r="B5" i="14"/>
  <c r="U5" i="14" l="1"/>
  <c r="J13" i="14" s="1"/>
  <c r="J5" i="14"/>
  <c r="F13" i="14" s="1"/>
  <c r="D13" i="14"/>
  <c r="E13" i="14"/>
  <c r="C13" i="14"/>
  <c r="T2" i="13" l="1"/>
  <c r="A6" i="4" s="1"/>
  <c r="Q2" i="13"/>
  <c r="D6" i="4" s="1"/>
  <c r="N2" i="13"/>
  <c r="G6" i="4" s="1"/>
  <c r="K2" i="13"/>
  <c r="J6" i="4" s="1"/>
  <c r="V2" i="13"/>
  <c r="C6" i="4" s="1"/>
  <c r="U2" i="13"/>
  <c r="B6" i="4" s="1"/>
  <c r="S2" i="13"/>
  <c r="F6" i="4" s="1"/>
  <c r="R2" i="13"/>
  <c r="E6" i="4" s="1"/>
  <c r="P2" i="13"/>
  <c r="I6" i="4" s="1"/>
  <c r="O2" i="13"/>
  <c r="H6" i="4" s="1"/>
  <c r="M2" i="13"/>
  <c r="L6" i="4" s="1"/>
  <c r="L2" i="13"/>
  <c r="K6" i="4" s="1"/>
  <c r="V2" i="12"/>
  <c r="C11" i="4" s="1"/>
  <c r="H32" i="4" s="1"/>
  <c r="U2" i="12"/>
  <c r="B11" i="4" s="1"/>
  <c r="G32" i="4" s="1"/>
  <c r="T2" i="12"/>
  <c r="A11" i="4" s="1"/>
  <c r="F32" i="4" s="1"/>
  <c r="S2" i="12"/>
  <c r="F11" i="4" s="1"/>
  <c r="H31" i="4" s="1"/>
  <c r="R2" i="12"/>
  <c r="E11" i="4" s="1"/>
  <c r="G31" i="4" s="1"/>
  <c r="M31" i="4" s="1"/>
  <c r="Q2" i="12"/>
  <c r="D11" i="4" s="1"/>
  <c r="F31" i="4" s="1"/>
  <c r="L31" i="4" s="1"/>
  <c r="P2" i="12"/>
  <c r="I11" i="4" s="1"/>
  <c r="O2" i="12"/>
  <c r="H11" i="4" s="1"/>
  <c r="N2" i="12"/>
  <c r="G11" i="4" s="1"/>
  <c r="M2" i="12"/>
  <c r="L11" i="4" s="1"/>
  <c r="H33" i="4" s="1"/>
  <c r="L2" i="12"/>
  <c r="K11" i="4" s="1"/>
  <c r="G33" i="4" s="1"/>
  <c r="K2" i="12"/>
  <c r="J11" i="4" s="1"/>
  <c r="F33" i="4" s="1"/>
  <c r="V2" i="11"/>
  <c r="C22" i="4" s="1"/>
  <c r="E32" i="4" s="1"/>
  <c r="K32" i="4" s="1"/>
  <c r="U2" i="11"/>
  <c r="B22" i="4" s="1"/>
  <c r="D32" i="4" s="1"/>
  <c r="J32" i="4" s="1"/>
  <c r="T2" i="11"/>
  <c r="A22" i="4" s="1"/>
  <c r="C32" i="4" s="1"/>
  <c r="I32" i="4" s="1"/>
  <c r="S2" i="11"/>
  <c r="F22" i="4" s="1"/>
  <c r="E31" i="4" s="1"/>
  <c r="R2" i="11"/>
  <c r="E22" i="4" s="1"/>
  <c r="D31" i="4" s="1"/>
  <c r="J31" i="4" s="1"/>
  <c r="Q2" i="11"/>
  <c r="D22" i="4" s="1"/>
  <c r="C31" i="4" s="1"/>
  <c r="I31" i="4" s="1"/>
  <c r="P2" i="11"/>
  <c r="I22" i="4" s="1"/>
  <c r="O2" i="11"/>
  <c r="H22" i="4" s="1"/>
  <c r="N2" i="11"/>
  <c r="G22" i="4" s="1"/>
  <c r="M2" i="11"/>
  <c r="L22" i="4" s="1"/>
  <c r="E33" i="4" s="1"/>
  <c r="L2" i="11"/>
  <c r="K22" i="4" s="1"/>
  <c r="D33" i="4" s="1"/>
  <c r="K2" i="11"/>
  <c r="J22" i="4" s="1"/>
  <c r="C33" i="4" s="1"/>
  <c r="V2" i="2"/>
  <c r="C17" i="4" s="1"/>
  <c r="E29" i="4" s="1"/>
  <c r="K29" i="4" s="1"/>
  <c r="U2" i="2"/>
  <c r="B17" i="4" s="1"/>
  <c r="D29" i="4" s="1"/>
  <c r="J29" i="4" s="1"/>
  <c r="T2" i="2"/>
  <c r="A17" i="4" s="1"/>
  <c r="S2" i="2"/>
  <c r="F17" i="4" s="1"/>
  <c r="R2" i="2"/>
  <c r="E17" i="4" s="1"/>
  <c r="Q2" i="2"/>
  <c r="D17" i="4" s="1"/>
  <c r="P2" i="2"/>
  <c r="I17" i="4" s="1"/>
  <c r="O2" i="2"/>
  <c r="H17" i="4" s="1"/>
  <c r="N2" i="2"/>
  <c r="G17" i="4" s="1"/>
  <c r="M2" i="2"/>
  <c r="L17" i="4" s="1"/>
  <c r="L2" i="2"/>
  <c r="K17" i="4" s="1"/>
  <c r="D30" i="4" s="1"/>
  <c r="K2" i="2"/>
  <c r="J17" i="4" s="1"/>
  <c r="C43" i="4" l="1"/>
  <c r="J33" i="4"/>
  <c r="D43" i="4"/>
  <c r="E41" i="4"/>
  <c r="E43" i="4"/>
  <c r="D42" i="4"/>
  <c r="F43" i="4"/>
  <c r="F41" i="4"/>
  <c r="G41" i="4"/>
  <c r="G43" i="4"/>
  <c r="H41" i="4"/>
  <c r="H43" i="4"/>
  <c r="F28" i="4"/>
  <c r="L28" i="4" s="1"/>
  <c r="K31" i="4"/>
  <c r="E52" i="4"/>
  <c r="E54" i="4"/>
  <c r="N32" i="4"/>
  <c r="E53" i="4"/>
  <c r="L32" i="4"/>
  <c r="C53" i="4"/>
  <c r="N31" i="4"/>
  <c r="C54" i="4"/>
  <c r="M32" i="4"/>
  <c r="D53" i="4"/>
  <c r="D54" i="4"/>
  <c r="H30" i="4"/>
  <c r="H29" i="4"/>
  <c r="G28" i="4"/>
  <c r="M28" i="4" s="1"/>
  <c r="G29" i="4"/>
  <c r="G30" i="4"/>
  <c r="H28" i="4"/>
  <c r="L33" i="4"/>
  <c r="N33" i="4"/>
  <c r="M33" i="4"/>
  <c r="D28" i="4"/>
  <c r="J28" i="4" s="1"/>
  <c r="C28" i="4"/>
  <c r="I28" i="4" s="1"/>
  <c r="C30" i="4"/>
  <c r="J30" i="4"/>
  <c r="E28" i="4"/>
  <c r="C29" i="4"/>
  <c r="I29" i="4" s="1"/>
  <c r="I33" i="4"/>
  <c r="K33" i="4"/>
  <c r="F29" i="4"/>
  <c r="E30" i="4"/>
  <c r="F30" i="4"/>
  <c r="E40" i="4" l="1"/>
  <c r="E42" i="4"/>
  <c r="C42" i="4"/>
  <c r="H40" i="4"/>
  <c r="H42" i="4"/>
  <c r="D51" i="4"/>
  <c r="G40" i="4"/>
  <c r="G42" i="4"/>
  <c r="C51" i="4"/>
  <c r="F42" i="4"/>
  <c r="F40" i="4"/>
  <c r="K28" i="4"/>
  <c r="E49" i="4"/>
  <c r="N28" i="4"/>
  <c r="E51" i="4"/>
  <c r="L29" i="4"/>
  <c r="C50" i="4"/>
  <c r="M29" i="4"/>
  <c r="D50" i="4"/>
  <c r="N29" i="4"/>
  <c r="E50" i="4"/>
  <c r="M30" i="4"/>
  <c r="N30" i="4"/>
  <c r="L30" i="4"/>
  <c r="K30" i="4"/>
  <c r="I30" i="4"/>
</calcChain>
</file>

<file path=xl/sharedStrings.xml><?xml version="1.0" encoding="utf-8"?>
<sst xmlns="http://schemas.openxmlformats.org/spreadsheetml/2006/main" count="575" uniqueCount="101">
  <si>
    <t>Total Locations</t>
  </si>
  <si>
    <t>Completion Suggestions</t>
  </si>
  <si>
    <t>Syntatically</t>
  </si>
  <si>
    <t>Top 1</t>
  </si>
  <si>
    <t>Top 5</t>
  </si>
  <si>
    <t>Top 10</t>
  </si>
  <si>
    <t>Length</t>
  </si>
  <si>
    <t>Alpha</t>
  </si>
  <si>
    <t>Old Structure</t>
  </si>
  <si>
    <t>Template Ranked</t>
  </si>
  <si>
    <t>First Correct Encounter</t>
  </si>
  <si>
    <t xml:space="preserve"> Correctness</t>
  </si>
  <si>
    <t>Strat</t>
  </si>
  <si>
    <t># Locations</t>
  </si>
  <si>
    <t>% Locations</t>
  </si>
  <si>
    <t>Generator</t>
  </si>
  <si>
    <t>Syntatic</t>
  </si>
  <si>
    <t>Templates</t>
  </si>
  <si>
    <t>Semantic</t>
  </si>
  <si>
    <t>Template Improvement Over Other Rankings</t>
  </si>
  <si>
    <t>Strat.</t>
  </si>
  <si>
    <t>Corr.</t>
  </si>
  <si>
    <t>Completion improvements over generator</t>
  </si>
  <si>
    <t>i2e</t>
  </si>
  <si>
    <t>top 1</t>
  </si>
  <si>
    <t>top 5</t>
  </si>
  <si>
    <t>top 10</t>
  </si>
  <si>
    <t>length</t>
  </si>
  <si>
    <t>i2e.Element</t>
  </si>
  <si>
    <t>Element</t>
  </si>
  <si>
    <t>Person</t>
  </si>
  <si>
    <t>Class</t>
  </si>
  <si>
    <t>Group</t>
  </si>
  <si>
    <t>Tutors</t>
  </si>
  <si>
    <t>Teacher</t>
  </si>
  <si>
    <t>Teaches.c</t>
  </si>
  <si>
    <t>Student</t>
  </si>
  <si>
    <t>c</t>
  </si>
  <si>
    <t>Teaches</t>
  </si>
  <si>
    <t>p</t>
  </si>
  <si>
    <t>Groups.Group</t>
  </si>
  <si>
    <t>Groups</t>
  </si>
  <si>
    <t>Teaches.Groups</t>
  </si>
  <si>
    <t>^Tutors.p</t>
  </si>
  <si>
    <t>c.Groups.Group</t>
  </si>
  <si>
    <t>c1</t>
  </si>
  <si>
    <t>c2</t>
  </si>
  <si>
    <t>Professor</t>
  </si>
  <si>
    <t>grades</t>
  </si>
  <si>
    <t>c.projects</t>
  </si>
  <si>
    <t>enrolled</t>
  </si>
  <si>
    <t>projects</t>
  </si>
  <si>
    <t>p.enrolled</t>
  </si>
  <si>
    <t>projects.y</t>
  </si>
  <si>
    <t>grades.Grade</t>
  </si>
  <si>
    <t>Grade</t>
  </si>
  <si>
    <t>~enrolled</t>
  </si>
  <si>
    <t>teaches</t>
  </si>
  <si>
    <t>x</t>
  </si>
  <si>
    <t>p.teaches.~enrolled</t>
  </si>
  <si>
    <t>enrolled.projects</t>
  </si>
  <si>
    <t>c.grades</t>
  </si>
  <si>
    <t>p.projects</t>
  </si>
  <si>
    <t>enrolled.c</t>
  </si>
  <si>
    <t>teaches.~enrolled</t>
  </si>
  <si>
    <t>g</t>
  </si>
  <si>
    <t>p.teaches</t>
  </si>
  <si>
    <t>~teaches</t>
  </si>
  <si>
    <t>p.enrolled.projects</t>
  </si>
  <si>
    <t>s.projects</t>
  </si>
  <si>
    <t>start</t>
  </si>
  <si>
    <t>model</t>
  </si>
  <si>
    <t># exact</t>
  </si>
  <si>
    <t>loc exact</t>
  </si>
  <si>
    <t>loc start</t>
  </si>
  <si>
    <t>loc start or match</t>
  </si>
  <si>
    <t># sem</t>
  </si>
  <si>
    <t>loc sem</t>
  </si>
  <si>
    <t>total sug</t>
  </si>
  <si>
    <t>% valid</t>
  </si>
  <si>
    <t>array</t>
  </si>
  <si>
    <t>classroom-fol</t>
  </si>
  <si>
    <t>classroom-rl</t>
  </si>
  <si>
    <t>courses-v2</t>
  </si>
  <si>
    <t>Model</t>
  </si>
  <si>
    <t># Loc</t>
  </si>
  <si>
    <t>Formula Completions</t>
  </si>
  <si>
    <t>Locations With</t>
  </si>
  <si>
    <t>% Valid</t>
  </si>
  <si>
    <t>Syn</t>
  </si>
  <si>
    <t xml:space="preserve"> Sem</t>
  </si>
  <si>
    <t>Start +</t>
  </si>
  <si>
    <t>p.Tutors</t>
  </si>
  <si>
    <t>Project</t>
  </si>
  <si>
    <t>c.~Teaches</t>
  </si>
  <si>
    <t>p.~Tutors</t>
  </si>
  <si>
    <t>teaches.~teaches</t>
  </si>
  <si>
    <t>c.grades.Grade</t>
  </si>
  <si>
    <t>Completions</t>
  </si>
  <si>
    <t>llms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</si>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</sst>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onsolas"/>
      <family val="3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2" fontId="0" fillId="0" borderId="0" xfId="0" applyNumberFormat="1"/>
    <xf numFmtId="2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/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7B59-9500-421F-96DA-B115E64376BB}">
  <dimension ref="A1:AC54"/>
  <sheetViews>
    <sheetView tabSelected="1" workbookViewId="0">
      <selection activeCell="H47" sqref="H47"/>
    </sheetView>
  </sheetViews>
  <sheetFormatPr defaultRowHeight="15" x14ac:dyDescent="0.25"/>
  <sheetData>
    <row r="1" spans="1:26" x14ac:dyDescent="0.25">
      <c r="A1" t="s">
        <v>0</v>
      </c>
    </row>
    <row r="2" spans="1:26" x14ac:dyDescent="0.25">
      <c r="A2" t="s">
        <v>99</v>
      </c>
    </row>
    <row r="3" spans="1:26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N3" s="7"/>
      <c r="O3" s="7"/>
      <c r="P3" s="7"/>
      <c r="Q3" s="6"/>
      <c r="R3" s="6"/>
      <c r="S3" s="6"/>
      <c r="U3" s="7"/>
      <c r="V3" s="7"/>
      <c r="W3" s="7"/>
      <c r="X3" s="6"/>
      <c r="Y3" s="6"/>
      <c r="Z3" s="6"/>
    </row>
    <row r="4" spans="1:26" x14ac:dyDescent="0.25">
      <c r="A4" s="17" t="s">
        <v>6</v>
      </c>
      <c r="B4" s="17"/>
      <c r="C4" s="17"/>
      <c r="D4" s="17" t="s">
        <v>7</v>
      </c>
      <c r="E4" s="17"/>
      <c r="F4" s="17"/>
      <c r="G4" s="17" t="s">
        <v>8</v>
      </c>
      <c r="H4" s="17"/>
      <c r="I4" s="17"/>
      <c r="J4" s="17" t="s">
        <v>9</v>
      </c>
      <c r="K4" s="17"/>
      <c r="L4" s="17"/>
      <c r="N4" s="7"/>
      <c r="O4" s="7"/>
      <c r="P4" s="7"/>
      <c r="U4" s="7"/>
      <c r="V4" s="7"/>
      <c r="W4" s="7"/>
    </row>
    <row r="5" spans="1:26" x14ac:dyDescent="0.25">
      <c r="A5" s="2" t="s">
        <v>3</v>
      </c>
      <c r="B5" s="2" t="s">
        <v>4</v>
      </c>
      <c r="C5" s="2" t="s">
        <v>5</v>
      </c>
      <c r="D5" s="2" t="s">
        <v>3</v>
      </c>
      <c r="E5" s="2" t="s">
        <v>4</v>
      </c>
      <c r="F5" s="2" t="s">
        <v>5</v>
      </c>
      <c r="G5" s="2" t="s">
        <v>3</v>
      </c>
      <c r="H5" s="2" t="s">
        <v>4</v>
      </c>
      <c r="I5" s="2" t="s">
        <v>5</v>
      </c>
      <c r="J5" s="2" t="s">
        <v>3</v>
      </c>
      <c r="K5" s="2" t="s">
        <v>4</v>
      </c>
      <c r="L5" s="2" t="s">
        <v>5</v>
      </c>
      <c r="N5" s="7"/>
      <c r="O5" s="7"/>
      <c r="P5" s="7"/>
      <c r="U5" s="7"/>
      <c r="V5" s="7"/>
      <c r="W5" s="7"/>
    </row>
    <row r="6" spans="1:26" x14ac:dyDescent="0.25">
      <c r="A6" s="4">
        <f>'llm - syn -len-alpha'!T2</f>
        <v>4</v>
      </c>
      <c r="B6" s="4">
        <f>'llm - syn -len-alpha'!U2</f>
        <v>43</v>
      </c>
      <c r="C6" s="4">
        <f>'llm - syn -len-alpha'!V2</f>
        <v>65</v>
      </c>
      <c r="D6" s="4">
        <f>'llm - syn -len-alpha'!Q2</f>
        <v>14</v>
      </c>
      <c r="E6" s="4">
        <f>'llm - syn -len-alpha'!R2</f>
        <v>46</v>
      </c>
      <c r="F6" s="4">
        <f>'llm - syn -len-alpha'!S2</f>
        <v>67</v>
      </c>
      <c r="G6" s="4">
        <f>'llm - syn -len-alpha'!N2</f>
        <v>44</v>
      </c>
      <c r="H6" s="4">
        <f>'llm - syn -len-alpha'!O2</f>
        <v>64</v>
      </c>
      <c r="I6" s="4">
        <f>'llm - syn -len-alpha'!P2</f>
        <v>69</v>
      </c>
      <c r="J6" s="4">
        <f>'llm - syn -len-alpha'!K2</f>
        <v>36</v>
      </c>
      <c r="K6" s="4">
        <f>'llm - syn -len-alpha'!L2</f>
        <v>66</v>
      </c>
      <c r="L6" s="4">
        <f>'llm - syn -len-alpha'!M2</f>
        <v>70</v>
      </c>
      <c r="N6" s="7"/>
      <c r="O6" s="7"/>
      <c r="P6" s="7"/>
      <c r="U6" s="7"/>
      <c r="V6" s="7"/>
      <c r="W6" s="7"/>
    </row>
    <row r="7" spans="1:26" x14ac:dyDescent="0.25">
      <c r="N7" s="7"/>
      <c r="O7" s="7"/>
      <c r="P7" s="7"/>
      <c r="U7" s="7"/>
      <c r="V7" s="7"/>
      <c r="W7" s="7"/>
    </row>
    <row r="8" spans="1:26" x14ac:dyDescent="0.25">
      <c r="A8" s="17" t="s">
        <v>10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N8" s="7"/>
      <c r="O8" s="7"/>
      <c r="P8" s="7"/>
    </row>
    <row r="9" spans="1:26" x14ac:dyDescent="0.25">
      <c r="A9" s="17" t="s">
        <v>6</v>
      </c>
      <c r="B9" s="17"/>
      <c r="C9" s="17"/>
      <c r="D9" s="17" t="s">
        <v>7</v>
      </c>
      <c r="E9" s="17"/>
      <c r="F9" s="17"/>
      <c r="G9" s="17" t="s">
        <v>8</v>
      </c>
      <c r="H9" s="17"/>
      <c r="I9" s="17"/>
      <c r="J9" s="17" t="s">
        <v>9</v>
      </c>
      <c r="K9" s="17"/>
      <c r="L9" s="17"/>
    </row>
    <row r="10" spans="1:26" x14ac:dyDescent="0.25">
      <c r="A10" s="2" t="s">
        <v>3</v>
      </c>
      <c r="B10" s="2" t="s">
        <v>4</v>
      </c>
      <c r="C10" s="2" t="s">
        <v>5</v>
      </c>
      <c r="D10" s="2" t="s">
        <v>3</v>
      </c>
      <c r="E10" s="2" t="s">
        <v>4</v>
      </c>
      <c r="F10" s="2" t="s">
        <v>5</v>
      </c>
      <c r="G10" s="2" t="s">
        <v>3</v>
      </c>
      <c r="H10" s="2" t="s">
        <v>4</v>
      </c>
      <c r="I10" s="2" t="s">
        <v>5</v>
      </c>
      <c r="J10" s="2" t="s">
        <v>3</v>
      </c>
      <c r="K10" s="2" t="s">
        <v>4</v>
      </c>
      <c r="L10" s="2" t="s">
        <v>5</v>
      </c>
    </row>
    <row r="11" spans="1:26" x14ac:dyDescent="0.25">
      <c r="A11" s="1">
        <f>'llm first - length - alpha'!T2</f>
        <v>5</v>
      </c>
      <c r="B11" s="1">
        <f>'llm first - length - alpha'!U2</f>
        <v>50</v>
      </c>
      <c r="C11" s="1">
        <f>'llm first - length - alpha'!V2</f>
        <v>75</v>
      </c>
      <c r="D11" s="1">
        <f>'llm first - length - alpha'!Q2</f>
        <v>22</v>
      </c>
      <c r="E11" s="1">
        <f>'llm first - length - alpha'!R2</f>
        <v>58</v>
      </c>
      <c r="F11" s="1">
        <f>'llm first - length - alpha'!S2</f>
        <v>76</v>
      </c>
      <c r="G11" s="1">
        <f>'llm first - length - alpha'!N2</f>
        <v>40</v>
      </c>
      <c r="H11" s="1">
        <f>'llm first - length - alpha'!O2</f>
        <v>73</v>
      </c>
      <c r="I11" s="1">
        <f>'llm first - length - alpha'!P2</f>
        <v>78</v>
      </c>
      <c r="J11" s="1">
        <f>'llm first - length - alpha'!K2</f>
        <v>64</v>
      </c>
      <c r="K11" s="1">
        <f>'llm first - length - alpha'!L2</f>
        <v>79</v>
      </c>
      <c r="L11" s="1">
        <f>'llm first - length - alpha'!M2</f>
        <v>79</v>
      </c>
    </row>
    <row r="13" spans="1:26" x14ac:dyDescent="0.25">
      <c r="A13" s="3" t="s">
        <v>98</v>
      </c>
      <c r="B13" s="3"/>
      <c r="C13" s="3"/>
    </row>
    <row r="14" spans="1:26" x14ac:dyDescent="0.25">
      <c r="A14" s="17" t="s">
        <v>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N14" s="7"/>
      <c r="O14" s="7"/>
      <c r="P14" s="7"/>
      <c r="Q14" s="6"/>
      <c r="R14" s="6"/>
      <c r="S14" s="6"/>
      <c r="U14" s="7"/>
      <c r="V14" s="7"/>
      <c r="W14" s="7"/>
      <c r="X14" s="6"/>
      <c r="Y14" s="6"/>
      <c r="Z14" s="6"/>
    </row>
    <row r="15" spans="1:26" x14ac:dyDescent="0.25">
      <c r="A15" s="17" t="s">
        <v>6</v>
      </c>
      <c r="B15" s="17"/>
      <c r="C15" s="17"/>
      <c r="D15" s="17" t="s">
        <v>7</v>
      </c>
      <c r="E15" s="17"/>
      <c r="F15" s="17"/>
      <c r="G15" s="17" t="s">
        <v>8</v>
      </c>
      <c r="H15" s="17"/>
      <c r="I15" s="17"/>
      <c r="J15" s="17" t="s">
        <v>9</v>
      </c>
      <c r="K15" s="17"/>
      <c r="L15" s="17"/>
      <c r="N15" s="7"/>
      <c r="O15" s="7"/>
      <c r="P15" s="7"/>
      <c r="U15" s="7"/>
      <c r="V15" s="7"/>
      <c r="W15" s="7"/>
    </row>
    <row r="16" spans="1:26" x14ac:dyDescent="0.25">
      <c r="A16" s="2" t="s">
        <v>3</v>
      </c>
      <c r="B16" s="2" t="s">
        <v>4</v>
      </c>
      <c r="C16" s="2" t="s">
        <v>5</v>
      </c>
      <c r="D16" s="2" t="s">
        <v>3</v>
      </c>
      <c r="E16" s="2" t="s">
        <v>4</v>
      </c>
      <c r="F16" s="2" t="s">
        <v>5</v>
      </c>
      <c r="G16" s="2" t="s">
        <v>3</v>
      </c>
      <c r="H16" s="2" t="s">
        <v>4</v>
      </c>
      <c r="I16" s="2" t="s">
        <v>5</v>
      </c>
      <c r="J16" s="2" t="s">
        <v>3</v>
      </c>
      <c r="K16" s="2" t="s">
        <v>4</v>
      </c>
      <c r="L16" s="2" t="s">
        <v>5</v>
      </c>
      <c r="N16" s="7"/>
      <c r="O16" s="7"/>
      <c r="P16" s="7"/>
      <c r="U16" s="7"/>
      <c r="V16" s="7"/>
      <c r="W16" s="7"/>
    </row>
    <row r="17" spans="1:29" x14ac:dyDescent="0.25">
      <c r="A17" s="4">
        <f>'formula - syn - len alpha'!T2</f>
        <v>20</v>
      </c>
      <c r="B17" s="4">
        <f>'formula - syn - len alpha'!U2</f>
        <v>59</v>
      </c>
      <c r="C17" s="4">
        <f>'formula - syn - len alpha'!V2</f>
        <v>88</v>
      </c>
      <c r="D17" s="4">
        <f>'formula - syn - len alpha'!Q2</f>
        <v>17</v>
      </c>
      <c r="E17" s="4">
        <f>'formula - syn - len alpha'!R2</f>
        <v>38</v>
      </c>
      <c r="F17" s="4">
        <f>'formula - syn - len alpha'!S2</f>
        <v>67</v>
      </c>
      <c r="G17" s="4">
        <f>'formula - syn - len alpha'!N2</f>
        <v>25</v>
      </c>
      <c r="H17" s="4">
        <f>'formula - syn - len alpha'!O2</f>
        <v>49</v>
      </c>
      <c r="I17" s="4">
        <f>'formula - syn - len alpha'!P2</f>
        <v>64</v>
      </c>
      <c r="J17" s="4">
        <f>'formula - syn - len alpha'!K2</f>
        <v>39</v>
      </c>
      <c r="K17" s="4">
        <f>'formula - syn - len alpha'!L2</f>
        <v>84</v>
      </c>
      <c r="L17" s="4">
        <f>'formula - syn - len alpha'!M2</f>
        <v>94</v>
      </c>
      <c r="N17" s="7"/>
      <c r="O17" s="7"/>
      <c r="P17" s="7"/>
      <c r="U17" s="7"/>
      <c r="V17" s="7"/>
      <c r="W17" s="7"/>
    </row>
    <row r="18" spans="1:29" x14ac:dyDescent="0.25">
      <c r="N18" s="7"/>
      <c r="O18" s="7"/>
      <c r="P18" s="7"/>
      <c r="U18" s="7"/>
      <c r="V18" s="7"/>
      <c r="W18" s="7"/>
    </row>
    <row r="19" spans="1:29" x14ac:dyDescent="0.25">
      <c r="A19" s="17" t="s">
        <v>10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N19" s="24"/>
      <c r="O19" s="24"/>
      <c r="P19" s="24"/>
    </row>
    <row r="20" spans="1:29" x14ac:dyDescent="0.25">
      <c r="A20" s="17" t="s">
        <v>6</v>
      </c>
      <c r="B20" s="17"/>
      <c r="C20" s="17"/>
      <c r="D20" s="17" t="s">
        <v>7</v>
      </c>
      <c r="E20" s="17"/>
      <c r="F20" s="17"/>
      <c r="G20" s="17" t="s">
        <v>8</v>
      </c>
      <c r="H20" s="17"/>
      <c r="I20" s="17"/>
      <c r="J20" s="17" t="s">
        <v>9</v>
      </c>
      <c r="K20" s="17"/>
      <c r="L20" s="17"/>
    </row>
    <row r="21" spans="1:29" x14ac:dyDescent="0.25">
      <c r="A21" s="2" t="s">
        <v>3</v>
      </c>
      <c r="B21" s="2" t="s">
        <v>4</v>
      </c>
      <c r="C21" s="2" t="s">
        <v>5</v>
      </c>
      <c r="D21" s="2" t="s">
        <v>3</v>
      </c>
      <c r="E21" s="2" t="s">
        <v>4</v>
      </c>
      <c r="F21" s="2" t="s">
        <v>5</v>
      </c>
      <c r="G21" s="2" t="s">
        <v>3</v>
      </c>
      <c r="H21" s="2" t="s">
        <v>4</v>
      </c>
      <c r="I21" s="2" t="s">
        <v>5</v>
      </c>
      <c r="J21" s="2" t="s">
        <v>3</v>
      </c>
      <c r="K21" s="2" t="s">
        <v>4</v>
      </c>
      <c r="L21" s="2" t="s">
        <v>5</v>
      </c>
    </row>
    <row r="22" spans="1:29" x14ac:dyDescent="0.25">
      <c r="A22" s="1">
        <f>'formula - first - len - alpha'!T2</f>
        <v>20</v>
      </c>
      <c r="B22" s="1">
        <f>'formula - first - len - alpha'!U2</f>
        <v>61</v>
      </c>
      <c r="C22" s="1">
        <f>'formula - first - len - alpha'!V2</f>
        <v>83</v>
      </c>
      <c r="D22" s="1">
        <f>'formula - first - len - alpha'!Q2</f>
        <v>27</v>
      </c>
      <c r="E22" s="1">
        <f>'formula - first - len - alpha'!R2</f>
        <v>48</v>
      </c>
      <c r="F22" s="1">
        <f>'formula - first - len - alpha'!S2</f>
        <v>73</v>
      </c>
      <c r="G22" s="1">
        <f>'formula - first - len - alpha'!N2</f>
        <v>27</v>
      </c>
      <c r="H22" s="1">
        <f>'formula - first - len - alpha'!O2</f>
        <v>50</v>
      </c>
      <c r="I22" s="1">
        <f>'formula - first - len - alpha'!P2</f>
        <v>67</v>
      </c>
      <c r="J22" s="1">
        <f>'formula - first - len - alpha'!K2</f>
        <v>70</v>
      </c>
      <c r="K22" s="1">
        <f>'formula - first - len - alpha'!L2</f>
        <v>94</v>
      </c>
      <c r="L22" s="1">
        <f>'formula - first - len - alpha'!M2</f>
        <v>99</v>
      </c>
    </row>
    <row r="24" spans="1:29" x14ac:dyDescent="0.25">
      <c r="I24">
        <f>9+38+67</f>
        <v>114</v>
      </c>
    </row>
    <row r="25" spans="1:29" x14ac:dyDescent="0.25">
      <c r="A25" s="21" t="s">
        <v>11</v>
      </c>
      <c r="B25" s="18" t="s">
        <v>12</v>
      </c>
      <c r="C25" s="17" t="s">
        <v>13</v>
      </c>
      <c r="D25" s="17"/>
      <c r="E25" s="17"/>
      <c r="F25" s="17"/>
      <c r="G25" s="17"/>
      <c r="H25" s="17"/>
      <c r="I25" s="17" t="s">
        <v>14</v>
      </c>
      <c r="J25" s="17"/>
      <c r="K25" s="17"/>
      <c r="L25" s="17"/>
      <c r="M25" s="17"/>
      <c r="N25" s="17"/>
    </row>
    <row r="26" spans="1:29" x14ac:dyDescent="0.25">
      <c r="A26" s="22"/>
      <c r="B26" s="19"/>
      <c r="C26" s="17" t="s">
        <v>1</v>
      </c>
      <c r="D26" s="17"/>
      <c r="E26" s="17"/>
      <c r="F26" s="17" t="s">
        <v>100</v>
      </c>
      <c r="G26" s="17"/>
      <c r="H26" s="17"/>
      <c r="I26" s="17" t="s">
        <v>1</v>
      </c>
      <c r="J26" s="17"/>
      <c r="K26" s="17"/>
      <c r="L26" s="17" t="s">
        <v>100</v>
      </c>
      <c r="M26" s="17"/>
      <c r="N26" s="17"/>
    </row>
    <row r="27" spans="1:29" x14ac:dyDescent="0.25">
      <c r="A27" s="23"/>
      <c r="B27" s="20"/>
      <c r="C27" s="2" t="s">
        <v>3</v>
      </c>
      <c r="D27" s="2" t="s">
        <v>4</v>
      </c>
      <c r="E27" s="2" t="s">
        <v>5</v>
      </c>
      <c r="F27" s="2" t="s">
        <v>3</v>
      </c>
      <c r="G27" s="2" t="s">
        <v>4</v>
      </c>
      <c r="H27" s="2" t="s">
        <v>5</v>
      </c>
      <c r="I27" s="2" t="s">
        <v>3</v>
      </c>
      <c r="J27" s="2" t="s">
        <v>4</v>
      </c>
      <c r="K27" s="2" t="s">
        <v>5</v>
      </c>
      <c r="L27" s="2" t="s">
        <v>3</v>
      </c>
      <c r="M27" s="2" t="s">
        <v>4</v>
      </c>
      <c r="N27" s="2" t="s">
        <v>5</v>
      </c>
    </row>
    <row r="28" spans="1:29" x14ac:dyDescent="0.25">
      <c r="A28" s="18" t="s">
        <v>16</v>
      </c>
      <c r="B28" s="8" t="s">
        <v>7</v>
      </c>
      <c r="C28" s="1">
        <f>D17</f>
        <v>17</v>
      </c>
      <c r="D28" s="1">
        <f>E17</f>
        <v>38</v>
      </c>
      <c r="E28" s="1">
        <f>F17</f>
        <v>67</v>
      </c>
      <c r="F28" s="1">
        <f>D6</f>
        <v>14</v>
      </c>
      <c r="G28" s="1">
        <f>E6</f>
        <v>46</v>
      </c>
      <c r="H28" s="1">
        <f>F6</f>
        <v>67</v>
      </c>
      <c r="I28" s="10">
        <f>(C28/$I$24)*100</f>
        <v>14.912280701754385</v>
      </c>
      <c r="J28" s="10">
        <f t="shared" ref="J28:N28" si="0">(D28/$I$24)*100</f>
        <v>33.333333333333329</v>
      </c>
      <c r="K28" s="10">
        <f t="shared" si="0"/>
        <v>58.771929824561411</v>
      </c>
      <c r="L28" s="10">
        <f t="shared" si="0"/>
        <v>12.280701754385964</v>
      </c>
      <c r="M28" s="10">
        <f t="shared" si="0"/>
        <v>40.350877192982452</v>
      </c>
      <c r="N28" s="10">
        <f t="shared" si="0"/>
        <v>58.771929824561411</v>
      </c>
      <c r="X28" s="9"/>
      <c r="Y28" s="9"/>
      <c r="Z28" s="9"/>
      <c r="AA28" s="9"/>
      <c r="AB28" s="9"/>
      <c r="AC28" s="9"/>
    </row>
    <row r="29" spans="1:29" x14ac:dyDescent="0.25">
      <c r="A29" s="19"/>
      <c r="B29" s="8" t="s">
        <v>6</v>
      </c>
      <c r="C29" s="1">
        <f>A17</f>
        <v>20</v>
      </c>
      <c r="D29" s="1">
        <f>B17</f>
        <v>59</v>
      </c>
      <c r="E29" s="1">
        <f>C17</f>
        <v>88</v>
      </c>
      <c r="F29" s="1">
        <f>A6</f>
        <v>4</v>
      </c>
      <c r="G29" s="1">
        <f>B6</f>
        <v>43</v>
      </c>
      <c r="H29" s="1">
        <f>C6</f>
        <v>65</v>
      </c>
      <c r="I29" s="10">
        <f t="shared" ref="I29:I33" si="1">(C29/$I$24)*100</f>
        <v>17.543859649122805</v>
      </c>
      <c r="J29" s="10">
        <f t="shared" ref="J29:J33" si="2">(D29/$I$24)*100</f>
        <v>51.754385964912288</v>
      </c>
      <c r="K29" s="10">
        <f t="shared" ref="K29:K33" si="3">(E29/$I$24)*100</f>
        <v>77.192982456140342</v>
      </c>
      <c r="L29" s="10">
        <f t="shared" ref="L29:L33" si="4">(F29/$I$24)*100</f>
        <v>3.5087719298245612</v>
      </c>
      <c r="M29" s="10">
        <f t="shared" ref="M29:M33" si="5">(G29/$I$24)*100</f>
        <v>37.719298245614034</v>
      </c>
      <c r="N29" s="10">
        <f t="shared" ref="N29:N33" si="6">(H29/$I$24)*100</f>
        <v>57.017543859649123</v>
      </c>
      <c r="X29" s="9"/>
      <c r="Y29" s="9"/>
      <c r="Z29" s="9"/>
      <c r="AA29" s="9"/>
      <c r="AB29" s="9"/>
      <c r="AC29" s="9"/>
    </row>
    <row r="30" spans="1:29" x14ac:dyDescent="0.25">
      <c r="A30" s="20"/>
      <c r="B30" s="8" t="s">
        <v>17</v>
      </c>
      <c r="C30" s="11">
        <f>J17</f>
        <v>39</v>
      </c>
      <c r="D30" s="11">
        <f>K17</f>
        <v>84</v>
      </c>
      <c r="E30" s="11">
        <f>L17</f>
        <v>94</v>
      </c>
      <c r="F30" s="13">
        <f>J6</f>
        <v>36</v>
      </c>
      <c r="G30" s="13">
        <f>K6</f>
        <v>66</v>
      </c>
      <c r="H30" s="13">
        <f>L6</f>
        <v>70</v>
      </c>
      <c r="I30" s="12">
        <f t="shared" si="1"/>
        <v>34.210526315789473</v>
      </c>
      <c r="J30" s="12">
        <f t="shared" si="2"/>
        <v>73.68421052631578</v>
      </c>
      <c r="K30" s="12">
        <f t="shared" si="3"/>
        <v>82.456140350877192</v>
      </c>
      <c r="L30" s="14">
        <f t="shared" si="4"/>
        <v>31.578947368421051</v>
      </c>
      <c r="M30" s="14">
        <f t="shared" si="5"/>
        <v>57.894736842105267</v>
      </c>
      <c r="N30" s="14">
        <f t="shared" si="6"/>
        <v>61.403508771929829</v>
      </c>
      <c r="X30" s="9"/>
      <c r="Y30" s="9"/>
      <c r="Z30" s="9"/>
      <c r="AA30" s="9"/>
      <c r="AB30" s="9"/>
      <c r="AC30" s="9"/>
    </row>
    <row r="31" spans="1:29" x14ac:dyDescent="0.25">
      <c r="A31" s="17" t="s">
        <v>18</v>
      </c>
      <c r="B31" s="8" t="s">
        <v>7</v>
      </c>
      <c r="C31" s="13">
        <f>D22</f>
        <v>27</v>
      </c>
      <c r="D31" s="13">
        <f>E22</f>
        <v>48</v>
      </c>
      <c r="E31" s="13">
        <f>F22</f>
        <v>73</v>
      </c>
      <c r="F31" s="13">
        <f>D11</f>
        <v>22</v>
      </c>
      <c r="G31" s="13">
        <f>E11</f>
        <v>58</v>
      </c>
      <c r="H31" s="13">
        <f>F11</f>
        <v>76</v>
      </c>
      <c r="I31" s="14">
        <f t="shared" si="1"/>
        <v>23.684210526315788</v>
      </c>
      <c r="J31" s="14">
        <f t="shared" si="2"/>
        <v>42.105263157894733</v>
      </c>
      <c r="K31" s="14">
        <f t="shared" si="3"/>
        <v>64.035087719298247</v>
      </c>
      <c r="L31" s="14">
        <f t="shared" si="4"/>
        <v>19.298245614035086</v>
      </c>
      <c r="M31" s="14">
        <f t="shared" si="5"/>
        <v>50.877192982456144</v>
      </c>
      <c r="N31" s="14">
        <f t="shared" si="6"/>
        <v>66.666666666666657</v>
      </c>
      <c r="X31" s="9"/>
      <c r="Y31" s="9"/>
      <c r="Z31" s="9"/>
      <c r="AA31" s="9"/>
      <c r="AB31" s="9"/>
      <c r="AC31" s="9"/>
    </row>
    <row r="32" spans="1:29" x14ac:dyDescent="0.25">
      <c r="A32" s="17"/>
      <c r="B32" s="8" t="s">
        <v>6</v>
      </c>
      <c r="C32" s="13">
        <f>A22</f>
        <v>20</v>
      </c>
      <c r="D32" s="13">
        <f>B22</f>
        <v>61</v>
      </c>
      <c r="E32" s="13">
        <f>C22</f>
        <v>83</v>
      </c>
      <c r="F32" s="13">
        <f>A11</f>
        <v>5</v>
      </c>
      <c r="G32" s="13">
        <f>B11</f>
        <v>50</v>
      </c>
      <c r="H32" s="13">
        <f>C11</f>
        <v>75</v>
      </c>
      <c r="I32" s="14">
        <f t="shared" si="1"/>
        <v>17.543859649122805</v>
      </c>
      <c r="J32" s="14">
        <f t="shared" si="2"/>
        <v>53.508771929824562</v>
      </c>
      <c r="K32" s="14">
        <f t="shared" si="3"/>
        <v>72.807017543859658</v>
      </c>
      <c r="L32" s="14">
        <f t="shared" si="4"/>
        <v>4.3859649122807012</v>
      </c>
      <c r="M32" s="14">
        <f t="shared" si="5"/>
        <v>43.859649122807014</v>
      </c>
      <c r="N32" s="14">
        <f t="shared" si="6"/>
        <v>65.789473684210535</v>
      </c>
      <c r="X32" s="9"/>
      <c r="Y32" s="9"/>
      <c r="Z32" s="9"/>
      <c r="AA32" s="9"/>
      <c r="AB32" s="9"/>
      <c r="AC32" s="9"/>
    </row>
    <row r="33" spans="1:29" x14ac:dyDescent="0.25">
      <c r="A33" s="17"/>
      <c r="B33" s="8" t="s">
        <v>17</v>
      </c>
      <c r="C33" s="11">
        <f>J22</f>
        <v>70</v>
      </c>
      <c r="D33" s="11">
        <f>K22</f>
        <v>94</v>
      </c>
      <c r="E33" s="11">
        <f>L22</f>
        <v>99</v>
      </c>
      <c r="F33" s="13">
        <f>J11</f>
        <v>64</v>
      </c>
      <c r="G33" s="13">
        <f>K11</f>
        <v>79</v>
      </c>
      <c r="H33" s="13">
        <f>L11</f>
        <v>79</v>
      </c>
      <c r="I33" s="12">
        <f t="shared" si="1"/>
        <v>61.403508771929829</v>
      </c>
      <c r="J33" s="12">
        <f t="shared" si="2"/>
        <v>82.456140350877192</v>
      </c>
      <c r="K33" s="12">
        <f t="shared" si="3"/>
        <v>86.842105263157904</v>
      </c>
      <c r="L33" s="14">
        <f t="shared" si="4"/>
        <v>56.140350877192979</v>
      </c>
      <c r="M33" s="14">
        <f t="shared" si="5"/>
        <v>69.298245614035096</v>
      </c>
      <c r="N33" s="14">
        <f t="shared" si="6"/>
        <v>69.298245614035096</v>
      </c>
      <c r="X33" s="9"/>
      <c r="Y33" s="9"/>
      <c r="Z33" s="9"/>
      <c r="AA33" s="9"/>
      <c r="AB33" s="9"/>
      <c r="AC33" s="9"/>
    </row>
    <row r="36" spans="1:29" x14ac:dyDescent="0.25">
      <c r="C36" t="s">
        <v>19</v>
      </c>
    </row>
    <row r="38" spans="1:29" x14ac:dyDescent="0.25">
      <c r="A38" s="17" t="s">
        <v>20</v>
      </c>
      <c r="B38" s="17" t="s">
        <v>21</v>
      </c>
      <c r="C38" s="17" t="s">
        <v>15</v>
      </c>
      <c r="D38" s="17"/>
      <c r="E38" s="17"/>
      <c r="F38" s="17" t="s">
        <v>1</v>
      </c>
      <c r="G38" s="17"/>
      <c r="H38" s="17"/>
    </row>
    <row r="39" spans="1:29" x14ac:dyDescent="0.25">
      <c r="A39" s="17"/>
      <c r="B39" s="17"/>
      <c r="C39" s="2" t="s">
        <v>3</v>
      </c>
      <c r="D39" s="2" t="s">
        <v>4</v>
      </c>
      <c r="E39" s="2" t="s">
        <v>5</v>
      </c>
      <c r="F39" s="2" t="s">
        <v>3</v>
      </c>
      <c r="G39" s="2" t="s">
        <v>4</v>
      </c>
      <c r="H39" s="2" t="s">
        <v>5</v>
      </c>
    </row>
    <row r="40" spans="1:29" x14ac:dyDescent="0.25">
      <c r="A40" s="17" t="s">
        <v>7</v>
      </c>
      <c r="B40" s="2" t="s">
        <v>16</v>
      </c>
      <c r="C40" s="10"/>
      <c r="D40" s="10"/>
      <c r="E40" s="10">
        <f>(E30-E28/E28)*100</f>
        <v>9300</v>
      </c>
      <c r="F40" s="10">
        <f>(F30-F28/F28)*100</f>
        <v>3500</v>
      </c>
      <c r="G40" s="10">
        <f t="shared" ref="G40:H40" si="7">(G30-G28/G28)*100</f>
        <v>6500</v>
      </c>
      <c r="H40" s="10">
        <f t="shared" si="7"/>
        <v>6900</v>
      </c>
      <c r="R40" s="9"/>
      <c r="S40" s="9"/>
      <c r="T40" s="9"/>
      <c r="U40" s="9"/>
      <c r="V40" s="9"/>
      <c r="W40" s="9"/>
    </row>
    <row r="41" spans="1:29" x14ac:dyDescent="0.25">
      <c r="A41" s="17"/>
      <c r="B41" s="2" t="s">
        <v>18</v>
      </c>
      <c r="C41" s="10"/>
      <c r="D41" s="10"/>
      <c r="E41" s="10">
        <f>(E33-E31)/E31*100</f>
        <v>35.61643835616438</v>
      </c>
      <c r="F41" s="10">
        <f>(F33-F31)/F31*100</f>
        <v>190.90909090909091</v>
      </c>
      <c r="G41" s="10">
        <f t="shared" ref="G41:H41" si="8">(G33-G31)/G31*100</f>
        <v>36.206896551724135</v>
      </c>
      <c r="H41" s="10">
        <f t="shared" si="8"/>
        <v>3.9473684210526314</v>
      </c>
      <c r="R41" s="9"/>
      <c r="S41" s="9"/>
      <c r="T41" s="9"/>
      <c r="U41" s="9"/>
      <c r="V41" s="9"/>
      <c r="W41" s="9"/>
    </row>
    <row r="42" spans="1:29" x14ac:dyDescent="0.25">
      <c r="A42" s="17" t="s">
        <v>6</v>
      </c>
      <c r="B42" s="2" t="s">
        <v>16</v>
      </c>
      <c r="C42" s="10">
        <f>(C30-C29)/C29*100</f>
        <v>95</v>
      </c>
      <c r="D42" s="10">
        <f>(D30-D29)/D29*100</f>
        <v>42.372881355932201</v>
      </c>
      <c r="E42" s="10">
        <f>(E30-E29)/E29*100</f>
        <v>6.8181818181818175</v>
      </c>
      <c r="F42" s="10">
        <f>(F30-F29)/F29*100</f>
        <v>800</v>
      </c>
      <c r="G42" s="10">
        <f t="shared" ref="G42:H42" si="9">(G30-G29)/G29*100</f>
        <v>53.488372093023251</v>
      </c>
      <c r="H42" s="10">
        <f t="shared" si="9"/>
        <v>7.6923076923076925</v>
      </c>
      <c r="R42" s="9"/>
      <c r="S42" s="9"/>
      <c r="T42" s="9"/>
      <c r="U42" s="9"/>
      <c r="V42" s="9"/>
      <c r="W42" s="9"/>
    </row>
    <row r="43" spans="1:29" x14ac:dyDescent="0.25">
      <c r="A43" s="17"/>
      <c r="B43" s="2" t="s">
        <v>18</v>
      </c>
      <c r="C43" s="10">
        <f>(C33-C32)/C32*100</f>
        <v>250</v>
      </c>
      <c r="D43" s="10">
        <f>(D33-D32)/D32*100</f>
        <v>54.098360655737707</v>
      </c>
      <c r="E43" s="10">
        <f>(E33-E32)/E32*100</f>
        <v>19.277108433734941</v>
      </c>
      <c r="F43" s="10">
        <f>(F33-F32)/F32*100</f>
        <v>1180</v>
      </c>
      <c r="G43" s="10">
        <f t="shared" ref="G43:H43" si="10">(G33-G32)/G32*100</f>
        <v>57.999999999999993</v>
      </c>
      <c r="H43" s="10">
        <f t="shared" si="10"/>
        <v>5.3333333333333339</v>
      </c>
      <c r="R43" s="9"/>
      <c r="S43" s="9"/>
      <c r="T43" s="9"/>
      <c r="U43" s="9"/>
      <c r="V43" s="9"/>
      <c r="W43" s="9"/>
    </row>
    <row r="44" spans="1:29" x14ac:dyDescent="0.25">
      <c r="A44" s="6"/>
      <c r="B44" s="6"/>
    </row>
    <row r="46" spans="1:29" x14ac:dyDescent="0.25">
      <c r="C46" t="s">
        <v>22</v>
      </c>
    </row>
    <row r="48" spans="1:29" x14ac:dyDescent="0.25">
      <c r="A48" s="8" t="s">
        <v>20</v>
      </c>
      <c r="B48" s="8" t="s">
        <v>21</v>
      </c>
      <c r="C48" s="2" t="s">
        <v>3</v>
      </c>
      <c r="D48" s="2" t="s">
        <v>4</v>
      </c>
      <c r="E48" s="2" t="s">
        <v>5</v>
      </c>
    </row>
    <row r="49" spans="1:5" x14ac:dyDescent="0.25">
      <c r="A49" s="17" t="s">
        <v>7</v>
      </c>
      <c r="B49" s="2" t="s">
        <v>16</v>
      </c>
      <c r="C49" s="10"/>
      <c r="D49" s="10"/>
      <c r="E49" s="10">
        <f>(H28-E28)/E28*100</f>
        <v>0</v>
      </c>
    </row>
    <row r="50" spans="1:5" x14ac:dyDescent="0.25">
      <c r="A50" s="17"/>
      <c r="B50" s="2" t="s">
        <v>18</v>
      </c>
      <c r="C50" s="10">
        <f>(F29-C29)/C29*100</f>
        <v>-80</v>
      </c>
      <c r="D50" s="10">
        <f>(G29-D29)/D29*100</f>
        <v>-27.118644067796609</v>
      </c>
      <c r="E50" s="10">
        <f t="shared" ref="E50:E54" si="11">(H29-E29)/E29*100</f>
        <v>-26.136363636363637</v>
      </c>
    </row>
    <row r="51" spans="1:5" x14ac:dyDescent="0.25">
      <c r="A51" s="17" t="s">
        <v>6</v>
      </c>
      <c r="B51" s="2" t="s">
        <v>16</v>
      </c>
      <c r="C51" s="10">
        <f>(F30-C30)/C30*100</f>
        <v>-7.6923076923076925</v>
      </c>
      <c r="D51" s="10">
        <f>(G30-D30)/D30*100</f>
        <v>-21.428571428571427</v>
      </c>
      <c r="E51" s="10">
        <f t="shared" si="11"/>
        <v>-25.531914893617021</v>
      </c>
    </row>
    <row r="52" spans="1:5" x14ac:dyDescent="0.25">
      <c r="A52" s="17"/>
      <c r="B52" s="2" t="s">
        <v>18</v>
      </c>
      <c r="C52" s="10"/>
      <c r="D52" s="10"/>
      <c r="E52" s="10">
        <f>(H31-E31)/E31*100</f>
        <v>4.10958904109589</v>
      </c>
    </row>
    <row r="53" spans="1:5" x14ac:dyDescent="0.25">
      <c r="A53" s="17" t="s">
        <v>17</v>
      </c>
      <c r="B53" s="2" t="s">
        <v>16</v>
      </c>
      <c r="C53" s="10">
        <f>(F32-C32)/C32*100</f>
        <v>-75</v>
      </c>
      <c r="D53" s="10">
        <f>(G32-D32)/D32*100</f>
        <v>-18.032786885245901</v>
      </c>
      <c r="E53" s="10">
        <f t="shared" si="11"/>
        <v>-9.6385542168674707</v>
      </c>
    </row>
    <row r="54" spans="1:5" x14ac:dyDescent="0.25">
      <c r="A54" s="17"/>
      <c r="B54" s="2" t="s">
        <v>18</v>
      </c>
      <c r="C54" s="10">
        <f>(F33-C33)/C33*100</f>
        <v>-8.5714285714285712</v>
      </c>
      <c r="D54" s="10">
        <f>(G33-D33)/D33*100</f>
        <v>-15.957446808510639</v>
      </c>
      <c r="E54" s="10">
        <f t="shared" si="11"/>
        <v>-20.202020202020201</v>
      </c>
    </row>
  </sheetData>
  <mergeCells count="40">
    <mergeCell ref="A9:C9"/>
    <mergeCell ref="D9:F9"/>
    <mergeCell ref="G9:I9"/>
    <mergeCell ref="J9:L9"/>
    <mergeCell ref="G15:I15"/>
    <mergeCell ref="J15:L15"/>
    <mergeCell ref="A14:L14"/>
    <mergeCell ref="A15:C15"/>
    <mergeCell ref="D15:F15"/>
    <mergeCell ref="A3:L3"/>
    <mergeCell ref="G4:I4"/>
    <mergeCell ref="J4:L4"/>
    <mergeCell ref="A8:L8"/>
    <mergeCell ref="A4:C4"/>
    <mergeCell ref="D4:F4"/>
    <mergeCell ref="N19:P19"/>
    <mergeCell ref="A20:C20"/>
    <mergeCell ref="D20:F20"/>
    <mergeCell ref="G20:I20"/>
    <mergeCell ref="J20:L20"/>
    <mergeCell ref="A19:L19"/>
    <mergeCell ref="C25:H25"/>
    <mergeCell ref="I25:N25"/>
    <mergeCell ref="B25:B27"/>
    <mergeCell ref="A25:A27"/>
    <mergeCell ref="A28:A30"/>
    <mergeCell ref="C26:E26"/>
    <mergeCell ref="F26:H26"/>
    <mergeCell ref="A31:A33"/>
    <mergeCell ref="I26:K26"/>
    <mergeCell ref="L26:N26"/>
    <mergeCell ref="A49:A50"/>
    <mergeCell ref="A51:A52"/>
    <mergeCell ref="A53:A54"/>
    <mergeCell ref="C38:E38"/>
    <mergeCell ref="F38:H38"/>
    <mergeCell ref="A40:A41"/>
    <mergeCell ref="A42:A43"/>
    <mergeCell ref="A38:A39"/>
    <mergeCell ref="B38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FE78-7FBF-404A-8FD0-6D59269E7833}">
  <dimension ref="A1:U13"/>
  <sheetViews>
    <sheetView workbookViewId="0">
      <selection activeCell="C24" sqref="C24"/>
    </sheetView>
  </sheetViews>
  <sheetFormatPr defaultRowHeight="15" x14ac:dyDescent="0.25"/>
  <sheetData>
    <row r="1" spans="1:21" x14ac:dyDescent="0.25">
      <c r="A1" t="s">
        <v>71</v>
      </c>
      <c r="B1" t="s">
        <v>72</v>
      </c>
      <c r="C1" t="s">
        <v>73</v>
      </c>
      <c r="D1" t="s">
        <v>70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L1" t="s">
        <v>71</v>
      </c>
      <c r="M1" t="s">
        <v>72</v>
      </c>
      <c r="N1" t="s">
        <v>73</v>
      </c>
      <c r="O1" t="s">
        <v>70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</row>
    <row r="2" spans="1:21" x14ac:dyDescent="0.25">
      <c r="A2" s="5" t="s">
        <v>80</v>
      </c>
      <c r="B2" s="15">
        <v>9</v>
      </c>
      <c r="C2" s="15">
        <v>9</v>
      </c>
      <c r="D2" s="15">
        <v>2</v>
      </c>
      <c r="E2" s="15">
        <v>2</v>
      </c>
      <c r="F2" s="15">
        <v>9</v>
      </c>
      <c r="G2" s="15">
        <v>25</v>
      </c>
      <c r="H2">
        <v>9</v>
      </c>
      <c r="I2" s="15">
        <v>54</v>
      </c>
      <c r="J2" s="9">
        <f>G2/I2*100</f>
        <v>46.296296296296298</v>
      </c>
      <c r="L2" t="s">
        <v>80</v>
      </c>
      <c r="M2">
        <v>5</v>
      </c>
      <c r="N2">
        <v>5</v>
      </c>
      <c r="O2">
        <v>0</v>
      </c>
      <c r="P2">
        <v>0</v>
      </c>
      <c r="Q2">
        <v>5</v>
      </c>
      <c r="R2">
        <v>12</v>
      </c>
      <c r="S2">
        <v>5</v>
      </c>
      <c r="T2">
        <v>64</v>
      </c>
      <c r="U2" s="9">
        <f t="shared" ref="U2:U4" si="0">R2/T2*100</f>
        <v>18.75</v>
      </c>
    </row>
    <row r="3" spans="1:21" x14ac:dyDescent="0.25">
      <c r="A3" s="5" t="s">
        <v>81</v>
      </c>
      <c r="B3" s="15">
        <v>34</v>
      </c>
      <c r="C3" s="15">
        <v>34</v>
      </c>
      <c r="D3" s="15">
        <v>4</v>
      </c>
      <c r="E3" s="15">
        <v>4</v>
      </c>
      <c r="F3" s="15">
        <v>37</v>
      </c>
      <c r="G3" s="15">
        <v>2289</v>
      </c>
      <c r="H3">
        <v>35</v>
      </c>
      <c r="I3" s="15">
        <v>2670</v>
      </c>
      <c r="J3" s="9">
        <f t="shared" ref="J3:J4" si="1">G3/I3*100</f>
        <v>85.730337078651687</v>
      </c>
      <c r="L3" t="s">
        <v>81</v>
      </c>
      <c r="M3">
        <v>30</v>
      </c>
      <c r="N3">
        <v>30</v>
      </c>
      <c r="O3">
        <v>1</v>
      </c>
      <c r="P3">
        <v>1</v>
      </c>
      <c r="Q3">
        <v>35</v>
      </c>
      <c r="R3">
        <v>342</v>
      </c>
      <c r="S3">
        <v>35</v>
      </c>
      <c r="T3">
        <v>485</v>
      </c>
      <c r="U3" s="9">
        <f t="shared" si="0"/>
        <v>70.515463917525778</v>
      </c>
    </row>
    <row r="4" spans="1:21" x14ac:dyDescent="0.25">
      <c r="A4" s="5" t="s">
        <v>83</v>
      </c>
      <c r="B4" s="15">
        <v>58</v>
      </c>
      <c r="C4" s="15">
        <v>58</v>
      </c>
      <c r="D4" s="15">
        <v>15</v>
      </c>
      <c r="E4" s="15">
        <v>15</v>
      </c>
      <c r="F4" s="15">
        <v>61</v>
      </c>
      <c r="G4" s="15">
        <v>1668</v>
      </c>
      <c r="H4">
        <v>59</v>
      </c>
      <c r="I4" s="15">
        <v>2794</v>
      </c>
      <c r="J4" s="9">
        <f t="shared" si="1"/>
        <v>59.699355762347885</v>
      </c>
      <c r="L4" t="s">
        <v>83</v>
      </c>
      <c r="M4">
        <v>36</v>
      </c>
      <c r="N4">
        <v>36</v>
      </c>
      <c r="O4">
        <v>4</v>
      </c>
      <c r="P4">
        <v>4</v>
      </c>
      <c r="Q4">
        <v>40</v>
      </c>
      <c r="R4">
        <v>297</v>
      </c>
      <c r="S4">
        <v>40</v>
      </c>
      <c r="T4">
        <v>454</v>
      </c>
      <c r="U4" s="9">
        <f t="shared" si="0"/>
        <v>65.418502202643168</v>
      </c>
    </row>
    <row r="5" spans="1:21" x14ac:dyDescent="0.25">
      <c r="A5" s="5"/>
      <c r="B5">
        <f>SUM(B2:B4)</f>
        <v>101</v>
      </c>
      <c r="C5">
        <f>SUM(C2:C4)</f>
        <v>101</v>
      </c>
      <c r="D5">
        <f>SUM(D2:D4)</f>
        <v>21</v>
      </c>
      <c r="E5">
        <f>SUM(E2:E4)</f>
        <v>21</v>
      </c>
      <c r="F5">
        <f>SUM(F2:F4)</f>
        <v>107</v>
      </c>
      <c r="G5">
        <f>SUM(G2:G4)</f>
        <v>3982</v>
      </c>
      <c r="H5">
        <f>SUM(H2:H4)</f>
        <v>103</v>
      </c>
      <c r="I5">
        <f>SUM(I2:I4)</f>
        <v>5518</v>
      </c>
      <c r="J5" s="9">
        <f>G5/I5*100</f>
        <v>72.163827473722364</v>
      </c>
      <c r="M5">
        <f>SUM(M2:M4)</f>
        <v>71</v>
      </c>
      <c r="N5">
        <f>SUM(N2:N4)</f>
        <v>71</v>
      </c>
      <c r="O5">
        <f>SUM(O2:O4)</f>
        <v>5</v>
      </c>
      <c r="P5">
        <f>SUM(P2:P4)</f>
        <v>5</v>
      </c>
      <c r="Q5">
        <f>SUM(Q2:Q4)</f>
        <v>80</v>
      </c>
      <c r="R5">
        <f>SUM(R2:R4)</f>
        <v>651</v>
      </c>
      <c r="S5">
        <f>SUM(S2:S4)</f>
        <v>80</v>
      </c>
      <c r="T5">
        <f>SUM(T2:T4)</f>
        <v>1003</v>
      </c>
      <c r="U5" s="9">
        <f t="shared" ref="U5" si="2">R5/T5*100</f>
        <v>64.905284147557325</v>
      </c>
    </row>
    <row r="7" spans="1:21" x14ac:dyDescent="0.25">
      <c r="A7" s="24" t="s">
        <v>84</v>
      </c>
      <c r="B7" s="24" t="s">
        <v>85</v>
      </c>
      <c r="C7" s="24" t="s">
        <v>86</v>
      </c>
      <c r="D7" s="24"/>
      <c r="E7" s="24"/>
      <c r="F7" s="24"/>
      <c r="G7" s="24" t="s">
        <v>15</v>
      </c>
      <c r="H7" s="24"/>
      <c r="I7" s="24"/>
      <c r="J7" s="24"/>
    </row>
    <row r="8" spans="1:21" x14ac:dyDescent="0.25">
      <c r="A8" s="24"/>
      <c r="B8" s="24"/>
      <c r="C8" s="24" t="s">
        <v>87</v>
      </c>
      <c r="D8" s="24"/>
      <c r="E8" s="24"/>
      <c r="F8" s="24" t="s">
        <v>88</v>
      </c>
      <c r="H8" s="6" t="s">
        <v>87</v>
      </c>
      <c r="I8" s="6"/>
      <c r="J8" s="24" t="s">
        <v>88</v>
      </c>
    </row>
    <row r="9" spans="1:21" x14ac:dyDescent="0.25">
      <c r="A9" s="24"/>
      <c r="B9" s="24"/>
      <c r="C9" s="7" t="s">
        <v>89</v>
      </c>
      <c r="D9" s="7" t="s">
        <v>90</v>
      </c>
      <c r="E9" s="7" t="s">
        <v>91</v>
      </c>
      <c r="F9" s="24"/>
      <c r="G9" s="7" t="s">
        <v>89</v>
      </c>
      <c r="H9" s="7" t="s">
        <v>90</v>
      </c>
      <c r="I9" s="7" t="s">
        <v>91</v>
      </c>
      <c r="J9" s="24"/>
    </row>
    <row r="10" spans="1:21" x14ac:dyDescent="0.25">
      <c r="A10" t="s">
        <v>80</v>
      </c>
      <c r="B10">
        <v>9</v>
      </c>
      <c r="C10">
        <f>B2</f>
        <v>9</v>
      </c>
      <c r="D10">
        <f>H2</f>
        <v>9</v>
      </c>
      <c r="E10">
        <f>F2</f>
        <v>9</v>
      </c>
      <c r="F10" s="9">
        <f>J2</f>
        <v>46.296296296296298</v>
      </c>
      <c r="G10">
        <f>M2</f>
        <v>5</v>
      </c>
      <c r="H10">
        <f>S2</f>
        <v>5</v>
      </c>
      <c r="I10">
        <f>Q2</f>
        <v>5</v>
      </c>
      <c r="J10" s="9">
        <f>U2</f>
        <v>18.75</v>
      </c>
    </row>
    <row r="11" spans="1:21" x14ac:dyDescent="0.25">
      <c r="A11" t="s">
        <v>82</v>
      </c>
      <c r="B11">
        <v>38</v>
      </c>
      <c r="C11">
        <f t="shared" ref="C11:C12" si="3">B3</f>
        <v>34</v>
      </c>
      <c r="D11">
        <f t="shared" ref="D11:D12" si="4">H3</f>
        <v>35</v>
      </c>
      <c r="E11">
        <f t="shared" ref="E11:E12" si="5">F3</f>
        <v>37</v>
      </c>
      <c r="F11" s="9">
        <f t="shared" ref="F11:F12" si="6">J3</f>
        <v>85.730337078651687</v>
      </c>
      <c r="G11">
        <f t="shared" ref="G11:G12" si="7">M3</f>
        <v>30</v>
      </c>
      <c r="H11">
        <f t="shared" ref="H11:H12" si="8">S3</f>
        <v>35</v>
      </c>
      <c r="I11">
        <f t="shared" ref="I11:I12" si="9">Q3</f>
        <v>35</v>
      </c>
      <c r="J11" s="9">
        <f t="shared" ref="J11:J12" si="10">U3</f>
        <v>70.515463917525778</v>
      </c>
    </row>
    <row r="12" spans="1:21" x14ac:dyDescent="0.25">
      <c r="A12" t="s">
        <v>83</v>
      </c>
      <c r="B12">
        <v>67</v>
      </c>
      <c r="C12">
        <f t="shared" si="3"/>
        <v>58</v>
      </c>
      <c r="D12">
        <f t="shared" si="4"/>
        <v>59</v>
      </c>
      <c r="E12">
        <f t="shared" si="5"/>
        <v>61</v>
      </c>
      <c r="F12" s="9">
        <f t="shared" si="6"/>
        <v>59.699355762347885</v>
      </c>
      <c r="G12">
        <f t="shared" si="7"/>
        <v>36</v>
      </c>
      <c r="H12">
        <f t="shared" si="8"/>
        <v>40</v>
      </c>
      <c r="I12">
        <f t="shared" si="9"/>
        <v>40</v>
      </c>
      <c r="J12" s="9">
        <f t="shared" si="10"/>
        <v>65.418502202643168</v>
      </c>
    </row>
    <row r="13" spans="1:21" x14ac:dyDescent="0.25">
      <c r="B13">
        <f>SUM(B10:B12)</f>
        <v>114</v>
      </c>
      <c r="C13">
        <f>SUM(C10:C12)</f>
        <v>101</v>
      </c>
      <c r="D13">
        <f>SUM(D10:D12)</f>
        <v>103</v>
      </c>
      <c r="E13">
        <f>SUM(E10:E12)</f>
        <v>107</v>
      </c>
      <c r="F13" s="9">
        <f>J5</f>
        <v>72.163827473722364</v>
      </c>
      <c r="G13">
        <f>M5</f>
        <v>71</v>
      </c>
      <c r="H13">
        <f>S5</f>
        <v>80</v>
      </c>
      <c r="I13">
        <f>Q5</f>
        <v>80</v>
      </c>
      <c r="J13" s="9">
        <f>U5</f>
        <v>64.905284147557325</v>
      </c>
    </row>
  </sheetData>
  <mergeCells count="7">
    <mergeCell ref="J8:J9"/>
    <mergeCell ref="A7:A9"/>
    <mergeCell ref="B7:B9"/>
    <mergeCell ref="G7:J7"/>
    <mergeCell ref="C7:F7"/>
    <mergeCell ref="C8:E8"/>
    <mergeCell ref="F8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1582-2B9E-4315-A0A6-00E9EC0BDF79}">
  <dimension ref="A2:L5"/>
  <sheetViews>
    <sheetView workbookViewId="0">
      <selection activeCell="L6" sqref="L6"/>
    </sheetView>
  </sheetViews>
  <sheetFormatPr defaultRowHeight="15" x14ac:dyDescent="0.25"/>
  <cols>
    <col min="5" max="5" width="12.7109375" bestFit="1" customWidth="1"/>
    <col min="7" max="7" width="12" bestFit="1" customWidth="1"/>
    <col min="8" max="8" width="12.7109375" bestFit="1" customWidth="1"/>
    <col min="11" max="12" width="9.7109375" bestFit="1" customWidth="1"/>
  </cols>
  <sheetData>
    <row r="2" spans="1:12" x14ac:dyDescent="0.25">
      <c r="A2" t="s">
        <v>80</v>
      </c>
      <c r="B2" s="16">
        <v>9</v>
      </c>
      <c r="C2" s="16">
        <v>54</v>
      </c>
      <c r="D2" s="16">
        <v>64</v>
      </c>
      <c r="E2" s="16">
        <f>(C2-D2)/C2*100</f>
        <v>-18.518518518518519</v>
      </c>
      <c r="F2" s="16">
        <v>6</v>
      </c>
      <c r="G2" s="16">
        <f>D2/B2</f>
        <v>7.1111111111111107</v>
      </c>
      <c r="H2" s="16">
        <f>(F2-G2)/F2*100</f>
        <v>-18.518518518518512</v>
      </c>
      <c r="I2" s="16">
        <v>51</v>
      </c>
      <c r="J2" s="16">
        <v>19122.62</v>
      </c>
      <c r="K2" s="16">
        <f>I2-J2</f>
        <v>-19071.62</v>
      </c>
    </row>
    <row r="3" spans="1:12" x14ac:dyDescent="0.25">
      <c r="A3" t="s">
        <v>81</v>
      </c>
      <c r="B3" s="16">
        <v>38</v>
      </c>
      <c r="C3" s="16">
        <v>2670</v>
      </c>
      <c r="D3" s="16">
        <v>485</v>
      </c>
      <c r="E3" s="16">
        <f t="shared" ref="E3:E5" si="0">(C3-D3)/C3*100</f>
        <v>81.835205992509358</v>
      </c>
      <c r="F3" s="16">
        <v>70</v>
      </c>
      <c r="G3" s="16">
        <f t="shared" ref="G3:G4" si="1">D3/B3</f>
        <v>12.763157894736842</v>
      </c>
      <c r="H3" s="16">
        <f t="shared" ref="H3:H5" si="2">(F3-G3)/F3*100</f>
        <v>81.766917293233078</v>
      </c>
      <c r="I3" s="16">
        <v>21</v>
      </c>
      <c r="J3" s="16">
        <v>26219.96</v>
      </c>
      <c r="K3" s="16">
        <f t="shared" ref="K3:K5" si="3">I3-J3</f>
        <v>-26198.959999999999</v>
      </c>
    </row>
    <row r="4" spans="1:12" x14ac:dyDescent="0.25">
      <c r="A4" t="s">
        <v>83</v>
      </c>
      <c r="B4" s="16">
        <v>67</v>
      </c>
      <c r="C4" s="16">
        <v>2794</v>
      </c>
      <c r="D4" s="16">
        <v>454</v>
      </c>
      <c r="E4" s="16">
        <f t="shared" si="0"/>
        <v>83.750894774516823</v>
      </c>
      <c r="F4" s="16">
        <v>42</v>
      </c>
      <c r="G4" s="16">
        <f t="shared" si="1"/>
        <v>6.7761194029850742</v>
      </c>
      <c r="H4" s="16">
        <f t="shared" si="2"/>
        <v>83.866382373845056</v>
      </c>
      <c r="I4" s="16">
        <v>27</v>
      </c>
      <c r="J4" s="16">
        <v>13183.33</v>
      </c>
      <c r="K4" s="16">
        <f t="shared" si="3"/>
        <v>-13156.33</v>
      </c>
    </row>
    <row r="5" spans="1:12" x14ac:dyDescent="0.25">
      <c r="B5" s="16">
        <f>SUM(B2:B4)</f>
        <v>114</v>
      </c>
      <c r="C5" s="16">
        <f t="shared" ref="C5:K5" si="4">SUM(C2:C4)</f>
        <v>5518</v>
      </c>
      <c r="D5" s="16">
        <f t="shared" si="4"/>
        <v>1003</v>
      </c>
      <c r="E5" s="16">
        <f t="shared" si="0"/>
        <v>81.823124320405952</v>
      </c>
      <c r="F5" s="16">
        <f t="shared" si="4"/>
        <v>118</v>
      </c>
      <c r="G5" s="16">
        <f t="shared" si="4"/>
        <v>26.650388408833027</v>
      </c>
      <c r="H5" s="16">
        <f t="shared" si="2"/>
        <v>77.41492507726015</v>
      </c>
      <c r="I5" s="16">
        <f t="shared" si="4"/>
        <v>99</v>
      </c>
      <c r="J5" s="16">
        <f t="shared" si="4"/>
        <v>58525.91</v>
      </c>
      <c r="K5" s="16">
        <f t="shared" si="3"/>
        <v>-58426.91</v>
      </c>
      <c r="L5">
        <f>K5/1000</f>
        <v>-58.426910000000007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E643-0E02-467E-B6E1-2AE8C72B8420}">
  <dimension ref="A1:V71"/>
  <sheetViews>
    <sheetView workbookViewId="0">
      <selection activeCell="J1" sqref="J1"/>
    </sheetView>
  </sheetViews>
  <sheetFormatPr defaultRowHeight="15" x14ac:dyDescent="0.25"/>
  <sheetData>
    <row r="1" spans="1:22" x14ac:dyDescent="0.25">
      <c r="A1" t="s">
        <v>23</v>
      </c>
      <c r="B1">
        <v>1</v>
      </c>
      <c r="C1">
        <v>2</v>
      </c>
      <c r="D1">
        <v>1</v>
      </c>
      <c r="E1">
        <v>1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2" x14ac:dyDescent="0.25">
      <c r="A2" t="s">
        <v>27</v>
      </c>
      <c r="B2">
        <v>2</v>
      </c>
      <c r="C2">
        <v>1</v>
      </c>
      <c r="D2">
        <v>6</v>
      </c>
      <c r="E2">
        <v>7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36</v>
      </c>
      <c r="L2">
        <f>COUNTIF(B1:B1000,"&lt;=5")</f>
        <v>66</v>
      </c>
      <c r="M2">
        <f>COUNTIF(B1:B1000,"&lt;=10")</f>
        <v>70</v>
      </c>
      <c r="N2">
        <f>COUNTIF(C1:C1000,"=1")</f>
        <v>44</v>
      </c>
      <c r="O2">
        <f>COUNTIF(C1:C1000,"&lt;=5")</f>
        <v>64</v>
      </c>
      <c r="P2">
        <f>COUNTIF(C1:C1000,"&lt;=10")</f>
        <v>69</v>
      </c>
      <c r="Q2">
        <f>COUNTIF(D1:D1000,"=1")</f>
        <v>14</v>
      </c>
      <c r="R2">
        <f>COUNTIF(D1:D1000,"&lt;=5")</f>
        <v>46</v>
      </c>
      <c r="S2">
        <f>COUNTIF(D1:D1000,"&lt;=10")</f>
        <v>67</v>
      </c>
      <c r="T2">
        <f>COUNTIF(E1:E1000,"=1")</f>
        <v>4</v>
      </c>
      <c r="U2">
        <f>COUNTIF(E1:E1000,"&lt;=5")</f>
        <v>43</v>
      </c>
      <c r="V2">
        <f>COUNTIF(E1:E1000,"&lt;=10")</f>
        <v>65</v>
      </c>
    </row>
    <row r="3" spans="1:22" x14ac:dyDescent="0.25">
      <c r="A3" t="s">
        <v>29</v>
      </c>
      <c r="B3">
        <v>1</v>
      </c>
      <c r="C3">
        <v>2</v>
      </c>
      <c r="D3">
        <v>3</v>
      </c>
      <c r="E3">
        <v>3</v>
      </c>
      <c r="F3">
        <v>3</v>
      </c>
      <c r="G3" t="b">
        <v>1</v>
      </c>
      <c r="H3" t="b">
        <v>1</v>
      </c>
      <c r="I3" t="b">
        <v>1</v>
      </c>
    </row>
    <row r="4" spans="1:22" x14ac:dyDescent="0.25">
      <c r="A4" t="s">
        <v>27</v>
      </c>
      <c r="B4">
        <v>2</v>
      </c>
      <c r="C4">
        <v>1</v>
      </c>
      <c r="D4">
        <v>6</v>
      </c>
      <c r="E4">
        <v>4</v>
      </c>
      <c r="F4">
        <v>1</v>
      </c>
      <c r="G4" t="b">
        <v>1</v>
      </c>
      <c r="H4" t="b">
        <v>1</v>
      </c>
      <c r="I4" t="b">
        <v>1</v>
      </c>
    </row>
    <row r="5" spans="1:22" x14ac:dyDescent="0.25">
      <c r="A5" t="s">
        <v>29</v>
      </c>
      <c r="B5">
        <v>1</v>
      </c>
      <c r="C5">
        <v>1</v>
      </c>
      <c r="D5">
        <v>1</v>
      </c>
      <c r="E5">
        <v>3</v>
      </c>
      <c r="F5">
        <v>1</v>
      </c>
      <c r="G5" t="b">
        <v>1</v>
      </c>
      <c r="H5" t="b">
        <v>1</v>
      </c>
      <c r="I5" t="b">
        <v>1</v>
      </c>
    </row>
    <row r="6" spans="1:22" x14ac:dyDescent="0.25">
      <c r="A6" t="s">
        <v>30</v>
      </c>
      <c r="B6">
        <v>1</v>
      </c>
      <c r="C6">
        <v>1</v>
      </c>
      <c r="D6">
        <v>1</v>
      </c>
      <c r="E6">
        <v>2</v>
      </c>
      <c r="F6">
        <v>1</v>
      </c>
      <c r="G6" t="b">
        <v>1</v>
      </c>
      <c r="H6" t="b">
        <v>1</v>
      </c>
      <c r="I6" t="b">
        <v>1</v>
      </c>
    </row>
    <row r="7" spans="1:22" x14ac:dyDescent="0.25">
      <c r="A7" t="s">
        <v>30</v>
      </c>
      <c r="B7">
        <v>1</v>
      </c>
      <c r="C7">
        <v>1</v>
      </c>
      <c r="D7">
        <v>1</v>
      </c>
      <c r="E7">
        <v>5</v>
      </c>
      <c r="F7">
        <v>2</v>
      </c>
      <c r="G7" t="b">
        <v>1</v>
      </c>
      <c r="H7" t="b">
        <v>1</v>
      </c>
      <c r="I7" t="b">
        <v>1</v>
      </c>
    </row>
    <row r="8" spans="1:22" x14ac:dyDescent="0.25">
      <c r="A8" t="s">
        <v>36</v>
      </c>
      <c r="B8">
        <v>3</v>
      </c>
      <c r="C8">
        <v>3</v>
      </c>
      <c r="D8">
        <v>3</v>
      </c>
      <c r="E8">
        <v>6</v>
      </c>
      <c r="F8">
        <v>2</v>
      </c>
      <c r="G8" t="b">
        <v>1</v>
      </c>
      <c r="H8" t="b">
        <v>1</v>
      </c>
      <c r="I8" t="b">
        <v>1</v>
      </c>
    </row>
    <row r="9" spans="1:22" x14ac:dyDescent="0.25">
      <c r="A9" t="s">
        <v>34</v>
      </c>
      <c r="B9">
        <v>5</v>
      </c>
      <c r="C9">
        <v>7</v>
      </c>
      <c r="D9">
        <v>6</v>
      </c>
      <c r="E9">
        <v>6</v>
      </c>
      <c r="F9">
        <v>6</v>
      </c>
      <c r="G9" t="b">
        <v>1</v>
      </c>
      <c r="H9" t="b">
        <v>1</v>
      </c>
      <c r="I9" t="b">
        <v>1</v>
      </c>
    </row>
    <row r="10" spans="1:22" x14ac:dyDescent="0.25">
      <c r="A10" t="s">
        <v>36</v>
      </c>
      <c r="B10">
        <v>3</v>
      </c>
      <c r="C10">
        <v>3</v>
      </c>
      <c r="D10">
        <v>2</v>
      </c>
      <c r="E10">
        <v>7</v>
      </c>
      <c r="F10">
        <v>2</v>
      </c>
      <c r="G10" t="b">
        <v>1</v>
      </c>
      <c r="H10" t="b">
        <v>1</v>
      </c>
      <c r="I10" t="b">
        <v>1</v>
      </c>
    </row>
    <row r="11" spans="1:22" x14ac:dyDescent="0.25">
      <c r="A11" t="s">
        <v>34</v>
      </c>
      <c r="B11">
        <v>6</v>
      </c>
      <c r="C11">
        <v>2</v>
      </c>
      <c r="D11">
        <v>3</v>
      </c>
      <c r="E11">
        <v>9</v>
      </c>
      <c r="F11">
        <v>6</v>
      </c>
      <c r="G11" t="b">
        <v>1</v>
      </c>
      <c r="H11" t="b">
        <v>1</v>
      </c>
      <c r="I11" t="b">
        <v>1</v>
      </c>
    </row>
    <row r="12" spans="1:22" x14ac:dyDescent="0.25">
      <c r="A12" t="s">
        <v>36</v>
      </c>
      <c r="B12">
        <v>3</v>
      </c>
      <c r="C12">
        <v>3</v>
      </c>
      <c r="D12">
        <v>2</v>
      </c>
      <c r="E12">
        <v>9</v>
      </c>
      <c r="F12">
        <v>2</v>
      </c>
      <c r="G12" t="b">
        <v>1</v>
      </c>
      <c r="H12" t="b">
        <v>1</v>
      </c>
      <c r="I12" t="b">
        <v>1</v>
      </c>
    </row>
    <row r="13" spans="1:22" x14ac:dyDescent="0.25">
      <c r="A13" t="s">
        <v>34</v>
      </c>
      <c r="B13">
        <v>3</v>
      </c>
      <c r="C13">
        <v>1</v>
      </c>
      <c r="D13">
        <v>2</v>
      </c>
      <c r="E13">
        <v>4</v>
      </c>
      <c r="F13">
        <v>2</v>
      </c>
      <c r="G13" t="b">
        <v>1</v>
      </c>
      <c r="H13" t="b">
        <v>1</v>
      </c>
      <c r="I13" t="b">
        <v>1</v>
      </c>
    </row>
    <row r="14" spans="1:22" x14ac:dyDescent="0.25">
      <c r="A14" t="s">
        <v>38</v>
      </c>
      <c r="B14">
        <v>1</v>
      </c>
      <c r="C14">
        <v>2</v>
      </c>
      <c r="D14">
        <v>2</v>
      </c>
      <c r="E14">
        <v>4</v>
      </c>
      <c r="F14">
        <v>1</v>
      </c>
      <c r="G14" t="b">
        <v>1</v>
      </c>
      <c r="H14" t="b">
        <v>1</v>
      </c>
      <c r="I14" t="b">
        <v>1</v>
      </c>
    </row>
    <row r="15" spans="1:22" x14ac:dyDescent="0.25">
      <c r="A15" t="s">
        <v>37</v>
      </c>
      <c r="B15">
        <v>1</v>
      </c>
      <c r="C15">
        <v>1</v>
      </c>
      <c r="D15">
        <v>11</v>
      </c>
      <c r="E15">
        <v>3</v>
      </c>
      <c r="F15">
        <v>1</v>
      </c>
      <c r="G15" t="b">
        <v>1</v>
      </c>
      <c r="H15" t="b">
        <v>1</v>
      </c>
      <c r="I15" t="b">
        <v>1</v>
      </c>
    </row>
    <row r="16" spans="1:22" x14ac:dyDescent="0.25">
      <c r="A16" t="s">
        <v>38</v>
      </c>
      <c r="B16">
        <v>1</v>
      </c>
      <c r="C16">
        <v>1</v>
      </c>
      <c r="D16">
        <v>4</v>
      </c>
      <c r="E16">
        <v>5</v>
      </c>
      <c r="F16">
        <v>3</v>
      </c>
      <c r="G16" t="b">
        <v>1</v>
      </c>
      <c r="H16" t="b">
        <v>1</v>
      </c>
      <c r="I16" t="b">
        <v>1</v>
      </c>
    </row>
    <row r="17" spans="1:9" x14ac:dyDescent="0.25">
      <c r="A17" t="s">
        <v>37</v>
      </c>
      <c r="B17">
        <v>1</v>
      </c>
      <c r="C17">
        <v>1</v>
      </c>
      <c r="D17">
        <v>4</v>
      </c>
      <c r="E17">
        <v>1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45</v>
      </c>
      <c r="B18">
        <v>1</v>
      </c>
      <c r="C18">
        <v>1</v>
      </c>
      <c r="D18">
        <v>6</v>
      </c>
      <c r="E18">
        <v>2</v>
      </c>
      <c r="F18">
        <v>1</v>
      </c>
      <c r="G18" t="b">
        <v>1</v>
      </c>
      <c r="H18" t="b">
        <v>1</v>
      </c>
      <c r="I18" t="b">
        <v>1</v>
      </c>
    </row>
    <row r="19" spans="1:9" x14ac:dyDescent="0.25">
      <c r="A19" t="s">
        <v>38</v>
      </c>
      <c r="B19">
        <v>1</v>
      </c>
      <c r="C19">
        <v>1</v>
      </c>
      <c r="D19">
        <v>4</v>
      </c>
      <c r="E19">
        <v>2</v>
      </c>
      <c r="F19">
        <v>3</v>
      </c>
      <c r="G19" t="b">
        <v>1</v>
      </c>
      <c r="H19" t="b">
        <v>1</v>
      </c>
      <c r="I19" t="b">
        <v>1</v>
      </c>
    </row>
    <row r="20" spans="1:9" x14ac:dyDescent="0.25">
      <c r="A20" t="s">
        <v>46</v>
      </c>
      <c r="B20">
        <v>2</v>
      </c>
      <c r="C20">
        <v>1</v>
      </c>
      <c r="D20">
        <v>4</v>
      </c>
      <c r="E20">
        <v>6</v>
      </c>
      <c r="F20">
        <v>1</v>
      </c>
      <c r="G20" t="b">
        <v>1</v>
      </c>
      <c r="H20" t="b">
        <v>1</v>
      </c>
      <c r="I20" t="b">
        <v>1</v>
      </c>
    </row>
    <row r="21" spans="1:9" x14ac:dyDescent="0.25">
      <c r="A21" t="s">
        <v>38</v>
      </c>
      <c r="B21">
        <v>1</v>
      </c>
      <c r="C21">
        <v>1</v>
      </c>
      <c r="D21">
        <v>6</v>
      </c>
      <c r="E21">
        <v>3</v>
      </c>
      <c r="F21">
        <v>3</v>
      </c>
      <c r="G21" t="b">
        <v>1</v>
      </c>
      <c r="H21" t="b">
        <v>1</v>
      </c>
      <c r="I21" t="b">
        <v>1</v>
      </c>
    </row>
    <row r="22" spans="1:9" x14ac:dyDescent="0.25">
      <c r="A22" t="s">
        <v>37</v>
      </c>
      <c r="B22">
        <v>1</v>
      </c>
      <c r="C22">
        <v>1</v>
      </c>
      <c r="D22">
        <v>2</v>
      </c>
      <c r="E22">
        <v>3</v>
      </c>
      <c r="F22">
        <v>1</v>
      </c>
      <c r="G22" t="b">
        <v>1</v>
      </c>
      <c r="H22" t="b">
        <v>1</v>
      </c>
      <c r="I22" t="b">
        <v>1</v>
      </c>
    </row>
    <row r="23" spans="1:9" x14ac:dyDescent="0.25">
      <c r="A23" t="s">
        <v>65</v>
      </c>
      <c r="B23">
        <v>1</v>
      </c>
      <c r="C23">
        <v>1</v>
      </c>
      <c r="D23">
        <v>6</v>
      </c>
      <c r="E23">
        <v>2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41</v>
      </c>
      <c r="B24">
        <v>1</v>
      </c>
      <c r="C24">
        <v>1</v>
      </c>
      <c r="D24">
        <v>8</v>
      </c>
      <c r="E24">
        <v>5</v>
      </c>
      <c r="F24">
        <v>3</v>
      </c>
      <c r="G24" t="b">
        <v>1</v>
      </c>
      <c r="H24" t="b">
        <v>1</v>
      </c>
      <c r="I24" t="b">
        <v>1</v>
      </c>
    </row>
    <row r="25" spans="1:9" x14ac:dyDescent="0.25">
      <c r="A25" t="s">
        <v>41</v>
      </c>
      <c r="B25">
        <v>1</v>
      </c>
      <c r="C25">
        <v>1</v>
      </c>
      <c r="D25">
        <v>1</v>
      </c>
      <c r="E25">
        <v>2</v>
      </c>
      <c r="F25">
        <v>1</v>
      </c>
      <c r="G25" t="b">
        <v>1</v>
      </c>
      <c r="H25" t="b">
        <v>1</v>
      </c>
      <c r="I25" t="b">
        <v>1</v>
      </c>
    </row>
    <row r="26" spans="1:9" x14ac:dyDescent="0.25">
      <c r="A26" t="s">
        <v>37</v>
      </c>
      <c r="B26">
        <v>1</v>
      </c>
      <c r="C26">
        <v>1</v>
      </c>
      <c r="D26">
        <v>5</v>
      </c>
      <c r="E26">
        <v>3</v>
      </c>
      <c r="F26">
        <v>1</v>
      </c>
      <c r="G26" t="b">
        <v>1</v>
      </c>
      <c r="H26" t="b">
        <v>1</v>
      </c>
      <c r="I26" t="b">
        <v>1</v>
      </c>
    </row>
    <row r="27" spans="1:9" x14ac:dyDescent="0.25">
      <c r="A27" t="s">
        <v>42</v>
      </c>
      <c r="B27">
        <v>7</v>
      </c>
      <c r="C27">
        <v>12</v>
      </c>
      <c r="D27">
        <v>5</v>
      </c>
      <c r="E27">
        <v>13</v>
      </c>
      <c r="F27">
        <v>11</v>
      </c>
      <c r="G27" t="b">
        <v>1</v>
      </c>
      <c r="H27" t="b">
        <v>1</v>
      </c>
      <c r="I27" t="b">
        <v>1</v>
      </c>
    </row>
    <row r="28" spans="1:9" x14ac:dyDescent="0.25">
      <c r="A28" t="s">
        <v>41</v>
      </c>
      <c r="B28">
        <v>1</v>
      </c>
      <c r="C28">
        <v>1</v>
      </c>
      <c r="D28">
        <v>5</v>
      </c>
      <c r="E28">
        <v>5</v>
      </c>
      <c r="F28">
        <v>2</v>
      </c>
      <c r="G28" t="b">
        <v>1</v>
      </c>
      <c r="H28" t="b">
        <v>1</v>
      </c>
      <c r="I28" t="b">
        <v>1</v>
      </c>
    </row>
    <row r="29" spans="1:9" x14ac:dyDescent="0.25">
      <c r="A29" t="s">
        <v>36</v>
      </c>
      <c r="B29">
        <v>2</v>
      </c>
      <c r="C29">
        <v>3</v>
      </c>
      <c r="D29">
        <v>6</v>
      </c>
      <c r="E29">
        <v>3</v>
      </c>
      <c r="F29">
        <v>1</v>
      </c>
      <c r="G29" t="b">
        <v>1</v>
      </c>
      <c r="H29" t="b">
        <v>1</v>
      </c>
      <c r="I29" t="b">
        <v>1</v>
      </c>
    </row>
    <row r="30" spans="1:9" x14ac:dyDescent="0.25">
      <c r="A30" t="s">
        <v>44</v>
      </c>
      <c r="B30">
        <v>9</v>
      </c>
      <c r="C30">
        <v>11</v>
      </c>
      <c r="D30">
        <v>5</v>
      </c>
      <c r="E30">
        <v>12</v>
      </c>
      <c r="F30">
        <v>300021</v>
      </c>
      <c r="G30" t="b">
        <v>1</v>
      </c>
      <c r="H30" t="b">
        <v>1</v>
      </c>
      <c r="I30" t="b">
        <v>1</v>
      </c>
    </row>
    <row r="31" spans="1:9" x14ac:dyDescent="0.25">
      <c r="A31" t="s">
        <v>40</v>
      </c>
      <c r="B31">
        <v>1</v>
      </c>
      <c r="C31">
        <v>1</v>
      </c>
      <c r="D31">
        <v>1</v>
      </c>
      <c r="E31">
        <v>20</v>
      </c>
      <c r="F31">
        <v>200021</v>
      </c>
      <c r="G31" t="b">
        <v>1</v>
      </c>
      <c r="H31" t="b">
        <v>1</v>
      </c>
      <c r="I31" t="b">
        <v>1</v>
      </c>
    </row>
    <row r="32" spans="1:9" x14ac:dyDescent="0.25">
      <c r="A32" t="s">
        <v>32</v>
      </c>
      <c r="B32">
        <v>1</v>
      </c>
      <c r="C32">
        <v>1</v>
      </c>
      <c r="D32">
        <v>1</v>
      </c>
      <c r="E32">
        <v>2</v>
      </c>
      <c r="F32">
        <v>3</v>
      </c>
      <c r="G32" t="b">
        <v>1</v>
      </c>
      <c r="H32" t="b">
        <v>1</v>
      </c>
      <c r="I32" t="b">
        <v>1</v>
      </c>
    </row>
    <row r="33" spans="1:9" x14ac:dyDescent="0.25">
      <c r="A33" t="s">
        <v>33</v>
      </c>
      <c r="B33">
        <v>1</v>
      </c>
      <c r="C33">
        <v>1</v>
      </c>
      <c r="D33">
        <v>7</v>
      </c>
      <c r="E33">
        <v>5</v>
      </c>
      <c r="F33">
        <v>3</v>
      </c>
      <c r="G33" t="b">
        <v>1</v>
      </c>
      <c r="H33" t="b">
        <v>1</v>
      </c>
      <c r="I33" t="b">
        <v>1</v>
      </c>
    </row>
    <row r="34" spans="1:9" x14ac:dyDescent="0.25">
      <c r="A34" t="s">
        <v>39</v>
      </c>
      <c r="B34">
        <v>1</v>
      </c>
      <c r="C34">
        <v>7</v>
      </c>
      <c r="D34">
        <v>9</v>
      </c>
      <c r="E34">
        <v>1</v>
      </c>
      <c r="F34">
        <v>1</v>
      </c>
      <c r="G34" t="b">
        <v>1</v>
      </c>
      <c r="H34" t="b">
        <v>1</v>
      </c>
      <c r="I34" t="b">
        <v>1</v>
      </c>
    </row>
    <row r="35" spans="1:9" x14ac:dyDescent="0.25">
      <c r="A35" t="s">
        <v>32</v>
      </c>
      <c r="B35">
        <v>2</v>
      </c>
      <c r="C35">
        <v>1</v>
      </c>
      <c r="D35">
        <v>2</v>
      </c>
      <c r="E35">
        <v>3</v>
      </c>
      <c r="F35">
        <v>1</v>
      </c>
      <c r="G35" t="b">
        <v>1</v>
      </c>
      <c r="H35" t="b">
        <v>1</v>
      </c>
      <c r="I35" t="b">
        <v>1</v>
      </c>
    </row>
    <row r="36" spans="1:9" x14ac:dyDescent="0.25">
      <c r="A36" t="s">
        <v>55</v>
      </c>
      <c r="B36">
        <v>2</v>
      </c>
      <c r="C36">
        <v>1</v>
      </c>
      <c r="D36">
        <v>2</v>
      </c>
      <c r="E36">
        <v>2</v>
      </c>
      <c r="F36">
        <v>1</v>
      </c>
      <c r="G36" t="b">
        <v>1</v>
      </c>
      <c r="H36" t="b">
        <v>1</v>
      </c>
      <c r="I36" t="b">
        <v>1</v>
      </c>
    </row>
    <row r="37" spans="1:9" x14ac:dyDescent="0.25">
      <c r="A37" t="s">
        <v>36</v>
      </c>
      <c r="B37">
        <v>4</v>
      </c>
      <c r="C37">
        <v>3</v>
      </c>
      <c r="D37">
        <v>6</v>
      </c>
      <c r="E37">
        <v>8</v>
      </c>
      <c r="F37">
        <v>2</v>
      </c>
      <c r="G37" t="b">
        <v>1</v>
      </c>
      <c r="H37" t="b">
        <v>1</v>
      </c>
      <c r="I37" t="b">
        <v>1</v>
      </c>
    </row>
    <row r="38" spans="1:9" x14ac:dyDescent="0.25">
      <c r="A38" t="s">
        <v>50</v>
      </c>
      <c r="B38">
        <v>1</v>
      </c>
      <c r="C38">
        <v>2</v>
      </c>
      <c r="D38">
        <v>1</v>
      </c>
      <c r="E38">
        <v>4</v>
      </c>
      <c r="F38">
        <v>1</v>
      </c>
      <c r="G38" t="b">
        <v>1</v>
      </c>
      <c r="H38" t="b">
        <v>1</v>
      </c>
      <c r="I38" t="b">
        <v>1</v>
      </c>
    </row>
    <row r="39" spans="1:9" x14ac:dyDescent="0.25">
      <c r="A39" t="s">
        <v>47</v>
      </c>
      <c r="B39">
        <v>3</v>
      </c>
      <c r="C39">
        <v>3</v>
      </c>
      <c r="D39">
        <v>6</v>
      </c>
      <c r="E39">
        <v>6</v>
      </c>
      <c r="F39">
        <v>2</v>
      </c>
      <c r="G39" t="b">
        <v>1</v>
      </c>
      <c r="H39" t="b">
        <v>1</v>
      </c>
      <c r="I39" t="b">
        <v>1</v>
      </c>
    </row>
    <row r="40" spans="1:9" x14ac:dyDescent="0.25">
      <c r="A40" t="s">
        <v>57</v>
      </c>
      <c r="B40">
        <v>3</v>
      </c>
      <c r="C40">
        <v>1</v>
      </c>
      <c r="D40">
        <v>10</v>
      </c>
      <c r="E40">
        <v>4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49</v>
      </c>
      <c r="B41">
        <v>1</v>
      </c>
      <c r="C41">
        <v>1</v>
      </c>
      <c r="D41">
        <v>4</v>
      </c>
      <c r="E41">
        <v>7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51</v>
      </c>
      <c r="B42">
        <v>2</v>
      </c>
      <c r="C42">
        <v>1</v>
      </c>
      <c r="D42">
        <v>6</v>
      </c>
      <c r="E42">
        <v>5</v>
      </c>
      <c r="F42">
        <v>1</v>
      </c>
      <c r="G42" t="b">
        <v>1</v>
      </c>
      <c r="H42" t="b">
        <v>1</v>
      </c>
      <c r="I42" t="b">
        <v>1</v>
      </c>
    </row>
    <row r="43" spans="1:9" x14ac:dyDescent="0.25">
      <c r="A43" t="s">
        <v>36</v>
      </c>
      <c r="B43">
        <v>4</v>
      </c>
      <c r="C43">
        <v>2</v>
      </c>
      <c r="D43">
        <v>3</v>
      </c>
      <c r="E43">
        <v>8</v>
      </c>
      <c r="F43">
        <v>2</v>
      </c>
      <c r="G43" t="b">
        <v>1</v>
      </c>
      <c r="H43" t="b">
        <v>1</v>
      </c>
      <c r="I43" t="b">
        <v>1</v>
      </c>
    </row>
    <row r="44" spans="1:9" x14ac:dyDescent="0.25">
      <c r="A44" t="s">
        <v>51</v>
      </c>
      <c r="B44">
        <v>2</v>
      </c>
      <c r="C44">
        <v>3</v>
      </c>
      <c r="D44">
        <v>6</v>
      </c>
      <c r="E44">
        <v>8</v>
      </c>
      <c r="F44">
        <v>1</v>
      </c>
      <c r="G44" t="b">
        <v>1</v>
      </c>
      <c r="H44" t="b">
        <v>1</v>
      </c>
      <c r="I44" t="b">
        <v>1</v>
      </c>
    </row>
    <row r="45" spans="1:9" x14ac:dyDescent="0.25">
      <c r="A45" t="s">
        <v>69</v>
      </c>
      <c r="B45">
        <v>1</v>
      </c>
      <c r="C45">
        <v>1</v>
      </c>
      <c r="D45">
        <v>3</v>
      </c>
      <c r="E45">
        <v>8</v>
      </c>
      <c r="F45">
        <v>1</v>
      </c>
      <c r="G45" t="b">
        <v>1</v>
      </c>
      <c r="H45" t="b">
        <v>1</v>
      </c>
      <c r="I45" t="b">
        <v>1</v>
      </c>
    </row>
    <row r="46" spans="1:9" x14ac:dyDescent="0.25">
      <c r="A46" t="s">
        <v>51</v>
      </c>
      <c r="B46">
        <v>1</v>
      </c>
      <c r="C46">
        <v>1</v>
      </c>
      <c r="D46">
        <v>1</v>
      </c>
      <c r="E46">
        <v>8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68</v>
      </c>
      <c r="B47">
        <v>3</v>
      </c>
      <c r="C47">
        <v>3</v>
      </c>
      <c r="D47">
        <v>9</v>
      </c>
      <c r="E47">
        <v>7</v>
      </c>
      <c r="F47">
        <v>4</v>
      </c>
      <c r="G47" t="b">
        <v>1</v>
      </c>
      <c r="H47" t="b">
        <v>1</v>
      </c>
      <c r="I47" t="b">
        <v>1</v>
      </c>
    </row>
    <row r="48" spans="1:9" x14ac:dyDescent="0.25">
      <c r="A48" t="s">
        <v>60</v>
      </c>
      <c r="B48">
        <v>2</v>
      </c>
      <c r="C48">
        <v>3</v>
      </c>
      <c r="D48">
        <v>1</v>
      </c>
      <c r="E48">
        <v>2</v>
      </c>
      <c r="F48">
        <v>11</v>
      </c>
      <c r="G48" t="b">
        <v>1</v>
      </c>
      <c r="H48" t="b">
        <v>1</v>
      </c>
      <c r="I48" t="b">
        <v>1</v>
      </c>
    </row>
    <row r="49" spans="1:9" x14ac:dyDescent="0.25">
      <c r="A49" t="s">
        <v>51</v>
      </c>
      <c r="B49">
        <v>2</v>
      </c>
      <c r="C49">
        <v>1</v>
      </c>
      <c r="D49">
        <v>4</v>
      </c>
      <c r="E49">
        <v>2</v>
      </c>
      <c r="F49">
        <v>2</v>
      </c>
      <c r="G49" t="b">
        <v>1</v>
      </c>
      <c r="H49" t="b">
        <v>1</v>
      </c>
      <c r="I49" t="b">
        <v>1</v>
      </c>
    </row>
    <row r="50" spans="1:9" x14ac:dyDescent="0.25">
      <c r="A50" t="s">
        <v>49</v>
      </c>
      <c r="B50">
        <v>1</v>
      </c>
      <c r="C50">
        <v>2</v>
      </c>
      <c r="D50">
        <v>2</v>
      </c>
      <c r="E50">
        <v>9</v>
      </c>
      <c r="F50">
        <v>1</v>
      </c>
      <c r="G50" t="b">
        <v>1</v>
      </c>
      <c r="H50" t="b">
        <v>1</v>
      </c>
      <c r="I50" t="b">
        <v>1</v>
      </c>
    </row>
    <row r="51" spans="1:9" x14ac:dyDescent="0.25">
      <c r="A51" t="s">
        <v>51</v>
      </c>
      <c r="B51">
        <v>2</v>
      </c>
      <c r="C51">
        <v>1</v>
      </c>
      <c r="D51">
        <v>5</v>
      </c>
      <c r="E51">
        <v>3</v>
      </c>
      <c r="F51">
        <v>1</v>
      </c>
      <c r="G51" t="b">
        <v>1</v>
      </c>
      <c r="H51" t="b">
        <v>1</v>
      </c>
      <c r="I51" t="b">
        <v>1</v>
      </c>
    </row>
    <row r="52" spans="1:9" x14ac:dyDescent="0.25">
      <c r="A52" t="s">
        <v>49</v>
      </c>
      <c r="B52">
        <v>1</v>
      </c>
      <c r="C52">
        <v>2</v>
      </c>
      <c r="D52">
        <v>2</v>
      </c>
      <c r="E52">
        <v>7</v>
      </c>
      <c r="F52">
        <v>1</v>
      </c>
      <c r="G52" t="b">
        <v>1</v>
      </c>
      <c r="H52" t="b">
        <v>1</v>
      </c>
      <c r="I52" t="b">
        <v>1</v>
      </c>
    </row>
    <row r="53" spans="1:9" x14ac:dyDescent="0.25">
      <c r="A53" t="s">
        <v>51</v>
      </c>
      <c r="B53">
        <v>1</v>
      </c>
      <c r="C53">
        <v>1</v>
      </c>
      <c r="D53">
        <v>1</v>
      </c>
      <c r="E53">
        <v>10</v>
      </c>
      <c r="F53">
        <v>1</v>
      </c>
      <c r="G53" t="b">
        <v>1</v>
      </c>
      <c r="H53" t="b">
        <v>1</v>
      </c>
      <c r="I53" t="b">
        <v>1</v>
      </c>
    </row>
    <row r="54" spans="1:9" x14ac:dyDescent="0.25">
      <c r="A54" t="s">
        <v>62</v>
      </c>
      <c r="B54">
        <v>2</v>
      </c>
      <c r="C54">
        <v>1</v>
      </c>
      <c r="D54">
        <v>7</v>
      </c>
      <c r="E54">
        <v>13</v>
      </c>
      <c r="F54">
        <v>1</v>
      </c>
      <c r="G54" t="b">
        <v>1</v>
      </c>
      <c r="H54" t="b">
        <v>1</v>
      </c>
      <c r="I54" t="b">
        <v>1</v>
      </c>
    </row>
    <row r="55" spans="1:9" x14ac:dyDescent="0.25">
      <c r="A55" t="s">
        <v>51</v>
      </c>
      <c r="B55">
        <v>2</v>
      </c>
      <c r="C55">
        <v>1</v>
      </c>
      <c r="D55">
        <v>5</v>
      </c>
      <c r="E55">
        <v>6</v>
      </c>
      <c r="F55">
        <v>1</v>
      </c>
      <c r="G55" t="b">
        <v>1</v>
      </c>
      <c r="H55" t="b">
        <v>1</v>
      </c>
      <c r="I55" t="b">
        <v>1</v>
      </c>
    </row>
    <row r="56" spans="1:9" x14ac:dyDescent="0.25">
      <c r="A56" t="s">
        <v>62</v>
      </c>
      <c r="B56">
        <v>2</v>
      </c>
      <c r="C56">
        <v>1</v>
      </c>
      <c r="D56">
        <v>6</v>
      </c>
      <c r="E56">
        <v>7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51</v>
      </c>
      <c r="B57">
        <v>2</v>
      </c>
      <c r="C57">
        <v>1</v>
      </c>
      <c r="D57">
        <v>4</v>
      </c>
      <c r="E57">
        <v>8</v>
      </c>
      <c r="F57">
        <v>1</v>
      </c>
      <c r="G57" t="b">
        <v>1</v>
      </c>
      <c r="H57" t="b">
        <v>1</v>
      </c>
      <c r="I57" t="b">
        <v>1</v>
      </c>
    </row>
    <row r="58" spans="1:9" x14ac:dyDescent="0.25">
      <c r="A58" t="s">
        <v>66</v>
      </c>
      <c r="B58">
        <v>2</v>
      </c>
      <c r="C58">
        <v>1</v>
      </c>
      <c r="D58">
        <v>10</v>
      </c>
      <c r="E58">
        <v>4</v>
      </c>
      <c r="F58">
        <v>1</v>
      </c>
      <c r="G58" t="b">
        <v>1</v>
      </c>
      <c r="H58" t="b">
        <v>1</v>
      </c>
      <c r="I58" t="b">
        <v>1</v>
      </c>
    </row>
    <row r="59" spans="1:9" x14ac:dyDescent="0.25">
      <c r="A59" t="s">
        <v>57</v>
      </c>
      <c r="B59">
        <v>3</v>
      </c>
      <c r="C59">
        <v>1</v>
      </c>
      <c r="D59">
        <v>8</v>
      </c>
      <c r="E59">
        <v>5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52</v>
      </c>
      <c r="B60">
        <v>1</v>
      </c>
      <c r="C60">
        <v>1</v>
      </c>
      <c r="D60">
        <v>8</v>
      </c>
      <c r="E60">
        <v>11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50</v>
      </c>
      <c r="B61">
        <v>1</v>
      </c>
      <c r="C61">
        <v>2</v>
      </c>
      <c r="D61">
        <v>1</v>
      </c>
      <c r="E61">
        <v>11</v>
      </c>
      <c r="F61">
        <v>1</v>
      </c>
      <c r="G61" t="b">
        <v>1</v>
      </c>
      <c r="H61" t="b">
        <v>1</v>
      </c>
      <c r="I61" t="b">
        <v>1</v>
      </c>
    </row>
    <row r="62" spans="1:9" x14ac:dyDescent="0.25">
      <c r="A62" t="s">
        <v>96</v>
      </c>
      <c r="B62">
        <v>18</v>
      </c>
      <c r="C62">
        <v>10</v>
      </c>
      <c r="D62">
        <v>24</v>
      </c>
      <c r="E62">
        <v>2</v>
      </c>
      <c r="F62">
        <v>210031</v>
      </c>
      <c r="G62" t="b">
        <v>1</v>
      </c>
      <c r="H62" t="b">
        <v>1</v>
      </c>
      <c r="I62" t="b">
        <v>1</v>
      </c>
    </row>
    <row r="63" spans="1:9" x14ac:dyDescent="0.25">
      <c r="A63" t="s">
        <v>67</v>
      </c>
      <c r="B63">
        <v>4</v>
      </c>
      <c r="C63">
        <v>3</v>
      </c>
      <c r="D63">
        <v>11</v>
      </c>
      <c r="E63">
        <v>4</v>
      </c>
      <c r="F63">
        <v>7</v>
      </c>
      <c r="G63" t="b">
        <v>1</v>
      </c>
      <c r="H63" t="b">
        <v>1</v>
      </c>
      <c r="I63" t="b">
        <v>1</v>
      </c>
    </row>
    <row r="64" spans="1:9" x14ac:dyDescent="0.25">
      <c r="A64" t="s">
        <v>39</v>
      </c>
      <c r="B64">
        <v>1</v>
      </c>
      <c r="C64">
        <v>1</v>
      </c>
      <c r="D64">
        <v>2</v>
      </c>
      <c r="E64">
        <v>1</v>
      </c>
      <c r="F64">
        <v>1</v>
      </c>
      <c r="G64" t="b">
        <v>1</v>
      </c>
      <c r="H64" t="b">
        <v>1</v>
      </c>
      <c r="I64" t="b">
        <v>1</v>
      </c>
    </row>
    <row r="65" spans="1:9" x14ac:dyDescent="0.25">
      <c r="A65" t="s">
        <v>59</v>
      </c>
      <c r="B65">
        <v>8</v>
      </c>
      <c r="C65">
        <v>6</v>
      </c>
      <c r="D65">
        <v>12</v>
      </c>
      <c r="E65">
        <v>8</v>
      </c>
      <c r="F65">
        <v>310031</v>
      </c>
      <c r="G65" t="b">
        <v>1</v>
      </c>
      <c r="H65" t="b">
        <v>1</v>
      </c>
      <c r="I65" t="b">
        <v>1</v>
      </c>
    </row>
    <row r="66" spans="1:9" x14ac:dyDescent="0.25">
      <c r="A66" t="s">
        <v>65</v>
      </c>
      <c r="B66">
        <v>2</v>
      </c>
      <c r="C66">
        <v>1</v>
      </c>
      <c r="D66">
        <v>5</v>
      </c>
      <c r="E66">
        <v>2</v>
      </c>
      <c r="F66">
        <v>1</v>
      </c>
      <c r="G66" t="b">
        <v>1</v>
      </c>
      <c r="H66" t="b">
        <v>1</v>
      </c>
      <c r="I66" t="b">
        <v>1</v>
      </c>
    </row>
    <row r="67" spans="1:9" x14ac:dyDescent="0.25">
      <c r="A67" t="s">
        <v>61</v>
      </c>
      <c r="B67">
        <v>1</v>
      </c>
      <c r="C67">
        <v>1</v>
      </c>
      <c r="D67">
        <v>4</v>
      </c>
      <c r="E67">
        <v>3</v>
      </c>
      <c r="F67">
        <v>1</v>
      </c>
      <c r="G67" t="b">
        <v>1</v>
      </c>
      <c r="H67" t="b">
        <v>1</v>
      </c>
      <c r="I67" t="b">
        <v>1</v>
      </c>
    </row>
    <row r="68" spans="1:9" x14ac:dyDescent="0.25">
      <c r="A68" t="s">
        <v>48</v>
      </c>
      <c r="B68">
        <v>1</v>
      </c>
      <c r="C68">
        <v>2</v>
      </c>
      <c r="D68">
        <v>1</v>
      </c>
      <c r="E68">
        <v>2</v>
      </c>
      <c r="F68">
        <v>1</v>
      </c>
      <c r="G68" t="b">
        <v>1</v>
      </c>
      <c r="H68" t="b">
        <v>1</v>
      </c>
      <c r="I68" t="b">
        <v>1</v>
      </c>
    </row>
    <row r="69" spans="1:9" x14ac:dyDescent="0.25">
      <c r="A69" t="s">
        <v>54</v>
      </c>
      <c r="B69">
        <v>5</v>
      </c>
      <c r="C69">
        <v>7</v>
      </c>
      <c r="D69">
        <v>2</v>
      </c>
      <c r="E69">
        <v>4</v>
      </c>
      <c r="F69">
        <v>200021</v>
      </c>
      <c r="G69" t="b">
        <v>1</v>
      </c>
      <c r="H69" t="b">
        <v>1</v>
      </c>
      <c r="I69" t="b">
        <v>1</v>
      </c>
    </row>
    <row r="70" spans="1:9" x14ac:dyDescent="0.25">
      <c r="A70" t="s">
        <v>55</v>
      </c>
      <c r="B70">
        <v>1</v>
      </c>
      <c r="C70">
        <v>1</v>
      </c>
      <c r="D70">
        <v>1</v>
      </c>
      <c r="E70">
        <v>2</v>
      </c>
      <c r="F70">
        <v>3</v>
      </c>
      <c r="G70" t="b">
        <v>1</v>
      </c>
      <c r="H70" t="b">
        <v>1</v>
      </c>
      <c r="I70" t="b">
        <v>1</v>
      </c>
    </row>
    <row r="71" spans="1:9" x14ac:dyDescent="0.25">
      <c r="A71" t="s">
        <v>30</v>
      </c>
      <c r="B71">
        <v>1</v>
      </c>
      <c r="C71">
        <v>1</v>
      </c>
      <c r="D71">
        <v>4</v>
      </c>
      <c r="E71">
        <v>4</v>
      </c>
      <c r="F71">
        <v>2</v>
      </c>
      <c r="G71" t="b">
        <v>1</v>
      </c>
      <c r="H71" t="b">
        <v>1</v>
      </c>
      <c r="I7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64BE-6AA4-4B32-B4A3-8B932381898B}">
  <dimension ref="A1:V80"/>
  <sheetViews>
    <sheetView workbookViewId="0">
      <selection activeCell="J1" sqref="J1"/>
    </sheetView>
  </sheetViews>
  <sheetFormatPr defaultRowHeight="15" x14ac:dyDescent="0.25"/>
  <sheetData>
    <row r="1" spans="1:22" x14ac:dyDescent="0.25">
      <c r="A1" t="s">
        <v>23</v>
      </c>
      <c r="B1">
        <v>1</v>
      </c>
      <c r="C1">
        <v>2</v>
      </c>
      <c r="D1">
        <v>1</v>
      </c>
      <c r="E1">
        <v>1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2" x14ac:dyDescent="0.25">
      <c r="A2" t="s">
        <v>27</v>
      </c>
      <c r="B2">
        <v>2</v>
      </c>
      <c r="C2">
        <v>1</v>
      </c>
      <c r="D2">
        <v>6</v>
      </c>
      <c r="E2">
        <v>7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64</v>
      </c>
      <c r="L2">
        <f>COUNTIF(B1:B1000,"&lt;=5")</f>
        <v>79</v>
      </c>
      <c r="M2">
        <f>COUNTIF(B1:B1000,"&lt;=10")</f>
        <v>79</v>
      </c>
      <c r="N2">
        <f>COUNTIF(C1:C1000,"=1")</f>
        <v>40</v>
      </c>
      <c r="O2">
        <f>COUNTIF(C1:C1000,"&lt;=5")</f>
        <v>73</v>
      </c>
      <c r="P2">
        <f>COUNTIF(C1:C1000,"&lt;=10")</f>
        <v>78</v>
      </c>
      <c r="Q2">
        <f>COUNTIF(D1:D1000,"=1")</f>
        <v>22</v>
      </c>
      <c r="R2">
        <f>COUNTIF(D1:D1000,"&lt;=5")</f>
        <v>58</v>
      </c>
      <c r="S2">
        <f>COUNTIF(D1:D1000,"&lt;=10")</f>
        <v>76</v>
      </c>
      <c r="T2">
        <f>COUNTIF(E1:E1000,"=1")</f>
        <v>5</v>
      </c>
      <c r="U2">
        <f>COUNTIF(E1:E1000,"&lt;=5")</f>
        <v>50</v>
      </c>
      <c r="V2">
        <f>COUNTIF(E1:E1000,"&lt;=10")</f>
        <v>75</v>
      </c>
    </row>
    <row r="3" spans="1:22" x14ac:dyDescent="0.25">
      <c r="A3" t="s">
        <v>29</v>
      </c>
      <c r="B3">
        <v>1</v>
      </c>
      <c r="C3">
        <v>2</v>
      </c>
      <c r="D3">
        <v>3</v>
      </c>
      <c r="E3">
        <v>3</v>
      </c>
      <c r="F3">
        <v>3</v>
      </c>
      <c r="G3" t="b">
        <v>1</v>
      </c>
      <c r="H3" t="b">
        <v>1</v>
      </c>
      <c r="I3" t="b">
        <v>1</v>
      </c>
    </row>
    <row r="4" spans="1:22" x14ac:dyDescent="0.25">
      <c r="A4" t="s">
        <v>27</v>
      </c>
      <c r="B4">
        <v>2</v>
      </c>
      <c r="C4">
        <v>1</v>
      </c>
      <c r="D4">
        <v>6</v>
      </c>
      <c r="E4">
        <v>4</v>
      </c>
      <c r="F4">
        <v>1</v>
      </c>
      <c r="G4" t="b">
        <v>1</v>
      </c>
      <c r="H4" t="b">
        <v>1</v>
      </c>
      <c r="I4" t="b">
        <v>1</v>
      </c>
    </row>
    <row r="5" spans="1:22" x14ac:dyDescent="0.25">
      <c r="A5" t="s">
        <v>29</v>
      </c>
      <c r="B5">
        <v>1</v>
      </c>
      <c r="C5">
        <v>1</v>
      </c>
      <c r="D5">
        <v>1</v>
      </c>
      <c r="E5">
        <v>3</v>
      </c>
      <c r="F5">
        <v>1</v>
      </c>
      <c r="G5" t="b">
        <v>1</v>
      </c>
      <c r="H5" t="b">
        <v>1</v>
      </c>
      <c r="I5" t="b">
        <v>1</v>
      </c>
    </row>
    <row r="6" spans="1:22" x14ac:dyDescent="0.25">
      <c r="A6" t="s">
        <v>30</v>
      </c>
      <c r="B6">
        <v>1</v>
      </c>
      <c r="C6">
        <v>1</v>
      </c>
      <c r="D6">
        <v>1</v>
      </c>
      <c r="E6">
        <v>2</v>
      </c>
      <c r="F6">
        <v>1</v>
      </c>
      <c r="G6" t="b">
        <v>1</v>
      </c>
      <c r="H6" t="b">
        <v>1</v>
      </c>
      <c r="I6" t="b">
        <v>1</v>
      </c>
    </row>
    <row r="7" spans="1:22" x14ac:dyDescent="0.25">
      <c r="A7" t="s">
        <v>30</v>
      </c>
      <c r="B7">
        <v>1</v>
      </c>
      <c r="C7">
        <v>1</v>
      </c>
      <c r="D7">
        <v>1</v>
      </c>
      <c r="E7">
        <v>5</v>
      </c>
      <c r="F7">
        <v>2</v>
      </c>
      <c r="G7" t="b">
        <v>1</v>
      </c>
      <c r="H7" t="b">
        <v>1</v>
      </c>
      <c r="I7" t="b">
        <v>1</v>
      </c>
    </row>
    <row r="8" spans="1:22" x14ac:dyDescent="0.25">
      <c r="A8" t="s">
        <v>92</v>
      </c>
      <c r="B8">
        <v>1</v>
      </c>
      <c r="C8">
        <v>6</v>
      </c>
      <c r="D8">
        <v>10</v>
      </c>
      <c r="E8">
        <v>9</v>
      </c>
      <c r="F8">
        <v>1</v>
      </c>
      <c r="G8" t="b">
        <v>0</v>
      </c>
      <c r="H8" t="b">
        <v>0</v>
      </c>
      <c r="I8" t="b">
        <v>1</v>
      </c>
    </row>
    <row r="9" spans="1:22" x14ac:dyDescent="0.25">
      <c r="A9" t="s">
        <v>92</v>
      </c>
      <c r="B9">
        <v>1</v>
      </c>
      <c r="C9">
        <v>2</v>
      </c>
      <c r="D9">
        <v>10</v>
      </c>
      <c r="E9">
        <v>8</v>
      </c>
      <c r="F9">
        <v>1</v>
      </c>
      <c r="G9" t="b">
        <v>0</v>
      </c>
      <c r="H9" t="b">
        <v>0</v>
      </c>
      <c r="I9" t="b">
        <v>1</v>
      </c>
    </row>
    <row r="10" spans="1:22" x14ac:dyDescent="0.25">
      <c r="A10" t="s">
        <v>92</v>
      </c>
      <c r="B10">
        <v>1</v>
      </c>
      <c r="C10">
        <v>5</v>
      </c>
      <c r="D10">
        <v>5</v>
      </c>
      <c r="E10">
        <v>9</v>
      </c>
      <c r="F10">
        <v>1</v>
      </c>
      <c r="G10" t="b">
        <v>0</v>
      </c>
      <c r="H10" t="b">
        <v>0</v>
      </c>
      <c r="I10" t="b">
        <v>1</v>
      </c>
    </row>
    <row r="11" spans="1:22" x14ac:dyDescent="0.25">
      <c r="A11" t="s">
        <v>92</v>
      </c>
      <c r="B11">
        <v>1</v>
      </c>
      <c r="C11">
        <v>4</v>
      </c>
      <c r="D11">
        <v>5</v>
      </c>
      <c r="E11">
        <v>10</v>
      </c>
      <c r="F11">
        <v>1</v>
      </c>
      <c r="G11" t="b">
        <v>0</v>
      </c>
      <c r="H11" t="b">
        <v>0</v>
      </c>
      <c r="I11" t="b">
        <v>1</v>
      </c>
    </row>
    <row r="12" spans="1:22" x14ac:dyDescent="0.25">
      <c r="A12" t="s">
        <v>92</v>
      </c>
      <c r="B12">
        <v>1</v>
      </c>
      <c r="C12">
        <v>6</v>
      </c>
      <c r="D12">
        <v>6</v>
      </c>
      <c r="E12">
        <v>11</v>
      </c>
      <c r="F12">
        <v>1</v>
      </c>
      <c r="G12" t="b">
        <v>0</v>
      </c>
      <c r="H12" t="b">
        <v>0</v>
      </c>
      <c r="I12" t="b">
        <v>1</v>
      </c>
    </row>
    <row r="13" spans="1:22" x14ac:dyDescent="0.25">
      <c r="A13" t="s">
        <v>92</v>
      </c>
      <c r="B13">
        <v>1</v>
      </c>
      <c r="C13">
        <v>4</v>
      </c>
      <c r="D13">
        <v>6</v>
      </c>
      <c r="E13">
        <v>6</v>
      </c>
      <c r="F13">
        <v>1</v>
      </c>
      <c r="G13" t="b">
        <v>0</v>
      </c>
      <c r="H13" t="b">
        <v>0</v>
      </c>
      <c r="I13" t="b">
        <v>1</v>
      </c>
    </row>
    <row r="14" spans="1:22" x14ac:dyDescent="0.25">
      <c r="A14" t="s">
        <v>38</v>
      </c>
      <c r="B14">
        <v>1</v>
      </c>
      <c r="C14">
        <v>2</v>
      </c>
      <c r="D14">
        <v>2</v>
      </c>
      <c r="E14">
        <v>4</v>
      </c>
      <c r="F14">
        <v>1</v>
      </c>
      <c r="G14" t="b">
        <v>1</v>
      </c>
      <c r="H14" t="b">
        <v>1</v>
      </c>
      <c r="I14" t="b">
        <v>1</v>
      </c>
    </row>
    <row r="15" spans="1:22" x14ac:dyDescent="0.25">
      <c r="A15" t="s">
        <v>37</v>
      </c>
      <c r="B15">
        <v>1</v>
      </c>
      <c r="C15">
        <v>1</v>
      </c>
      <c r="D15">
        <v>11</v>
      </c>
      <c r="E15">
        <v>3</v>
      </c>
      <c r="F15">
        <v>1</v>
      </c>
      <c r="G15" t="b">
        <v>1</v>
      </c>
      <c r="H15" t="b">
        <v>1</v>
      </c>
      <c r="I15" t="b">
        <v>1</v>
      </c>
    </row>
    <row r="16" spans="1:22" x14ac:dyDescent="0.25">
      <c r="A16" t="s">
        <v>38</v>
      </c>
      <c r="B16">
        <v>1</v>
      </c>
      <c r="C16">
        <v>1</v>
      </c>
      <c r="D16">
        <v>4</v>
      </c>
      <c r="E16">
        <v>5</v>
      </c>
      <c r="F16">
        <v>3</v>
      </c>
      <c r="G16" t="b">
        <v>1</v>
      </c>
      <c r="H16" t="b">
        <v>1</v>
      </c>
      <c r="I16" t="b">
        <v>1</v>
      </c>
    </row>
    <row r="17" spans="1:9" x14ac:dyDescent="0.25">
      <c r="A17" t="s">
        <v>30</v>
      </c>
      <c r="B17">
        <v>1</v>
      </c>
      <c r="C17">
        <v>5</v>
      </c>
      <c r="D17">
        <v>1</v>
      </c>
      <c r="E17">
        <v>2</v>
      </c>
      <c r="F17">
        <v>2</v>
      </c>
      <c r="G17" t="b">
        <v>0</v>
      </c>
      <c r="H17" t="b">
        <v>0</v>
      </c>
      <c r="I17" t="b">
        <v>1</v>
      </c>
    </row>
    <row r="18" spans="1:9" x14ac:dyDescent="0.25">
      <c r="A18" t="s">
        <v>37</v>
      </c>
      <c r="B18">
        <v>1</v>
      </c>
      <c r="C18">
        <v>1</v>
      </c>
      <c r="D18">
        <v>4</v>
      </c>
      <c r="E18">
        <v>1</v>
      </c>
      <c r="F18">
        <v>1</v>
      </c>
      <c r="G18" t="b">
        <v>1</v>
      </c>
      <c r="H18" t="b">
        <v>1</v>
      </c>
      <c r="I18" t="b">
        <v>1</v>
      </c>
    </row>
    <row r="19" spans="1:9" x14ac:dyDescent="0.25">
      <c r="A19" t="s">
        <v>45</v>
      </c>
      <c r="B19">
        <v>1</v>
      </c>
      <c r="C19">
        <v>1</v>
      </c>
      <c r="D19">
        <v>6</v>
      </c>
      <c r="E19">
        <v>2</v>
      </c>
      <c r="F19">
        <v>1</v>
      </c>
      <c r="G19" t="b">
        <v>1</v>
      </c>
      <c r="H19" t="b">
        <v>1</v>
      </c>
      <c r="I19" t="b">
        <v>1</v>
      </c>
    </row>
    <row r="20" spans="1:9" x14ac:dyDescent="0.25">
      <c r="A20" t="s">
        <v>38</v>
      </c>
      <c r="B20">
        <v>1</v>
      </c>
      <c r="C20">
        <v>1</v>
      </c>
      <c r="D20">
        <v>4</v>
      </c>
      <c r="E20">
        <v>2</v>
      </c>
      <c r="F20">
        <v>3</v>
      </c>
      <c r="G20" t="b">
        <v>1</v>
      </c>
      <c r="H20" t="b">
        <v>1</v>
      </c>
      <c r="I20" t="b">
        <v>1</v>
      </c>
    </row>
    <row r="21" spans="1:9" x14ac:dyDescent="0.25">
      <c r="A21" t="s">
        <v>46</v>
      </c>
      <c r="B21">
        <v>2</v>
      </c>
      <c r="C21">
        <v>1</v>
      </c>
      <c r="D21">
        <v>4</v>
      </c>
      <c r="E21">
        <v>6</v>
      </c>
      <c r="F21">
        <v>1</v>
      </c>
      <c r="G21" t="b">
        <v>1</v>
      </c>
      <c r="H21" t="b">
        <v>1</v>
      </c>
      <c r="I21" t="b">
        <v>1</v>
      </c>
    </row>
    <row r="22" spans="1:9" x14ac:dyDescent="0.25">
      <c r="A22" t="s">
        <v>38</v>
      </c>
      <c r="B22">
        <v>1</v>
      </c>
      <c r="C22">
        <v>1</v>
      </c>
      <c r="D22">
        <v>6</v>
      </c>
      <c r="E22">
        <v>3</v>
      </c>
      <c r="F22">
        <v>3</v>
      </c>
      <c r="G22" t="b">
        <v>1</v>
      </c>
      <c r="H22" t="b">
        <v>1</v>
      </c>
      <c r="I22" t="b">
        <v>1</v>
      </c>
    </row>
    <row r="23" spans="1:9" x14ac:dyDescent="0.25">
      <c r="A23" t="s">
        <v>30</v>
      </c>
      <c r="B23">
        <v>1</v>
      </c>
      <c r="C23">
        <v>1</v>
      </c>
      <c r="D23">
        <v>2</v>
      </c>
      <c r="E23">
        <v>3</v>
      </c>
      <c r="F23">
        <v>2</v>
      </c>
      <c r="G23" t="b">
        <v>0</v>
      </c>
      <c r="H23" t="b">
        <v>0</v>
      </c>
      <c r="I23" t="b">
        <v>1</v>
      </c>
    </row>
    <row r="24" spans="1:9" x14ac:dyDescent="0.25">
      <c r="A24" t="s">
        <v>37</v>
      </c>
      <c r="B24">
        <v>1</v>
      </c>
      <c r="C24">
        <v>1</v>
      </c>
      <c r="D24">
        <v>2</v>
      </c>
      <c r="E24">
        <v>3</v>
      </c>
      <c r="F24">
        <v>1</v>
      </c>
      <c r="G24" t="b">
        <v>1</v>
      </c>
      <c r="H24" t="b">
        <v>1</v>
      </c>
      <c r="I24" t="b">
        <v>1</v>
      </c>
    </row>
    <row r="25" spans="1:9" x14ac:dyDescent="0.25">
      <c r="A25" t="s">
        <v>65</v>
      </c>
      <c r="B25">
        <v>1</v>
      </c>
      <c r="C25">
        <v>1</v>
      </c>
      <c r="D25">
        <v>6</v>
      </c>
      <c r="E25">
        <v>2</v>
      </c>
      <c r="F25">
        <v>1</v>
      </c>
      <c r="G25" t="b">
        <v>1</v>
      </c>
      <c r="H25" t="b">
        <v>1</v>
      </c>
      <c r="I25" t="b">
        <v>1</v>
      </c>
    </row>
    <row r="26" spans="1:9" x14ac:dyDescent="0.25">
      <c r="A26" t="s">
        <v>41</v>
      </c>
      <c r="B26">
        <v>1</v>
      </c>
      <c r="C26">
        <v>1</v>
      </c>
      <c r="D26">
        <v>8</v>
      </c>
      <c r="E26">
        <v>5</v>
      </c>
      <c r="F26">
        <v>3</v>
      </c>
      <c r="G26" t="b">
        <v>1</v>
      </c>
      <c r="H26" t="b">
        <v>1</v>
      </c>
      <c r="I26" t="b">
        <v>1</v>
      </c>
    </row>
    <row r="27" spans="1:9" x14ac:dyDescent="0.25">
      <c r="A27" t="s">
        <v>41</v>
      </c>
      <c r="B27">
        <v>1</v>
      </c>
      <c r="C27">
        <v>1</v>
      </c>
      <c r="D27">
        <v>1</v>
      </c>
      <c r="E27">
        <v>2</v>
      </c>
      <c r="F27">
        <v>1</v>
      </c>
      <c r="G27" t="b">
        <v>1</v>
      </c>
      <c r="H27" t="b">
        <v>1</v>
      </c>
      <c r="I27" t="b">
        <v>1</v>
      </c>
    </row>
    <row r="28" spans="1:9" x14ac:dyDescent="0.25">
      <c r="A28" t="s">
        <v>30</v>
      </c>
      <c r="B28">
        <v>1</v>
      </c>
      <c r="C28">
        <v>3</v>
      </c>
      <c r="D28">
        <v>3</v>
      </c>
      <c r="E28">
        <v>3</v>
      </c>
      <c r="F28">
        <v>2</v>
      </c>
      <c r="G28" t="b">
        <v>0</v>
      </c>
      <c r="H28" t="b">
        <v>0</v>
      </c>
      <c r="I28" t="b">
        <v>1</v>
      </c>
    </row>
    <row r="29" spans="1:9" x14ac:dyDescent="0.25">
      <c r="A29" t="s">
        <v>37</v>
      </c>
      <c r="B29">
        <v>1</v>
      </c>
      <c r="C29">
        <v>1</v>
      </c>
      <c r="D29">
        <v>5</v>
      </c>
      <c r="E29">
        <v>3</v>
      </c>
      <c r="F29">
        <v>1</v>
      </c>
      <c r="G29" t="b">
        <v>1</v>
      </c>
      <c r="H29" t="b">
        <v>1</v>
      </c>
      <c r="I29" t="b">
        <v>1</v>
      </c>
    </row>
    <row r="30" spans="1:9" x14ac:dyDescent="0.25">
      <c r="A30" t="s">
        <v>38</v>
      </c>
      <c r="B30">
        <v>1</v>
      </c>
      <c r="C30">
        <v>2</v>
      </c>
      <c r="D30">
        <v>2</v>
      </c>
      <c r="E30">
        <v>4</v>
      </c>
      <c r="F30">
        <v>1</v>
      </c>
      <c r="G30" t="b">
        <v>0</v>
      </c>
      <c r="H30" t="b">
        <v>0</v>
      </c>
      <c r="I30" t="b">
        <v>1</v>
      </c>
    </row>
    <row r="31" spans="1:9" x14ac:dyDescent="0.25">
      <c r="A31" t="s">
        <v>41</v>
      </c>
      <c r="B31">
        <v>1</v>
      </c>
      <c r="C31">
        <v>1</v>
      </c>
      <c r="D31">
        <v>5</v>
      </c>
      <c r="E31">
        <v>5</v>
      </c>
      <c r="F31">
        <v>2</v>
      </c>
      <c r="G31" t="b">
        <v>1</v>
      </c>
      <c r="H31" t="b">
        <v>1</v>
      </c>
      <c r="I31" t="b">
        <v>1</v>
      </c>
    </row>
    <row r="32" spans="1:9" x14ac:dyDescent="0.25">
      <c r="A32" t="s">
        <v>33</v>
      </c>
      <c r="B32">
        <v>1</v>
      </c>
      <c r="C32">
        <v>5</v>
      </c>
      <c r="D32">
        <v>4</v>
      </c>
      <c r="E32">
        <v>1</v>
      </c>
      <c r="F32">
        <v>1</v>
      </c>
      <c r="G32" t="b">
        <v>0</v>
      </c>
      <c r="H32" t="b">
        <v>0</v>
      </c>
      <c r="I32" t="b">
        <v>1</v>
      </c>
    </row>
    <row r="33" spans="1:9" x14ac:dyDescent="0.25">
      <c r="A33" t="s">
        <v>30</v>
      </c>
      <c r="B33">
        <v>1</v>
      </c>
      <c r="C33">
        <v>1</v>
      </c>
      <c r="D33">
        <v>1</v>
      </c>
      <c r="E33">
        <v>2</v>
      </c>
      <c r="F33">
        <v>1</v>
      </c>
      <c r="G33" t="b">
        <v>0</v>
      </c>
      <c r="H33" t="b">
        <v>0</v>
      </c>
      <c r="I33" t="b">
        <v>1</v>
      </c>
    </row>
    <row r="34" spans="1:9" x14ac:dyDescent="0.25">
      <c r="A34" t="s">
        <v>92</v>
      </c>
      <c r="B34">
        <v>1</v>
      </c>
      <c r="C34">
        <v>4</v>
      </c>
      <c r="D34">
        <v>10</v>
      </c>
      <c r="E34">
        <v>6</v>
      </c>
      <c r="F34">
        <v>1</v>
      </c>
      <c r="G34" t="b">
        <v>0</v>
      </c>
      <c r="H34" t="b">
        <v>0</v>
      </c>
      <c r="I34" t="b">
        <v>1</v>
      </c>
    </row>
    <row r="35" spans="1:9" x14ac:dyDescent="0.25">
      <c r="A35" t="s">
        <v>40</v>
      </c>
      <c r="B35">
        <v>1</v>
      </c>
      <c r="C35">
        <v>1</v>
      </c>
      <c r="D35">
        <v>1</v>
      </c>
      <c r="E35">
        <v>20</v>
      </c>
      <c r="F35">
        <v>200021</v>
      </c>
      <c r="G35" t="b">
        <v>1</v>
      </c>
      <c r="H35" t="b">
        <v>1</v>
      </c>
      <c r="I35" t="b">
        <v>1</v>
      </c>
    </row>
    <row r="36" spans="1:9" x14ac:dyDescent="0.25">
      <c r="A36" t="s">
        <v>32</v>
      </c>
      <c r="B36">
        <v>1</v>
      </c>
      <c r="C36">
        <v>1</v>
      </c>
      <c r="D36">
        <v>1</v>
      </c>
      <c r="E36">
        <v>2</v>
      </c>
      <c r="F36">
        <v>3</v>
      </c>
      <c r="G36" t="b">
        <v>1</v>
      </c>
      <c r="H36" t="b">
        <v>1</v>
      </c>
      <c r="I36" t="b">
        <v>1</v>
      </c>
    </row>
    <row r="37" spans="1:9" x14ac:dyDescent="0.25">
      <c r="A37" t="s">
        <v>33</v>
      </c>
      <c r="B37">
        <v>1</v>
      </c>
      <c r="C37">
        <v>1</v>
      </c>
      <c r="D37">
        <v>7</v>
      </c>
      <c r="E37">
        <v>5</v>
      </c>
      <c r="F37">
        <v>3</v>
      </c>
      <c r="G37" t="b">
        <v>1</v>
      </c>
      <c r="H37" t="b">
        <v>1</v>
      </c>
      <c r="I37" t="b">
        <v>1</v>
      </c>
    </row>
    <row r="38" spans="1:9" x14ac:dyDescent="0.25">
      <c r="A38" t="s">
        <v>30</v>
      </c>
      <c r="B38">
        <v>1</v>
      </c>
      <c r="C38">
        <v>2</v>
      </c>
      <c r="D38">
        <v>1</v>
      </c>
      <c r="E38">
        <v>6</v>
      </c>
      <c r="F38">
        <v>2</v>
      </c>
      <c r="G38" t="b">
        <v>0</v>
      </c>
      <c r="H38" t="b">
        <v>0</v>
      </c>
      <c r="I38" t="b">
        <v>1</v>
      </c>
    </row>
    <row r="39" spans="1:9" x14ac:dyDescent="0.25">
      <c r="A39" t="s">
        <v>39</v>
      </c>
      <c r="B39">
        <v>1</v>
      </c>
      <c r="C39">
        <v>7</v>
      </c>
      <c r="D39">
        <v>9</v>
      </c>
      <c r="E39">
        <v>1</v>
      </c>
      <c r="F39">
        <v>1</v>
      </c>
      <c r="G39" t="b">
        <v>1</v>
      </c>
      <c r="H39" t="b">
        <v>1</v>
      </c>
      <c r="I39" t="b">
        <v>1</v>
      </c>
    </row>
    <row r="40" spans="1:9" x14ac:dyDescent="0.25">
      <c r="A40" t="s">
        <v>32</v>
      </c>
      <c r="B40">
        <v>2</v>
      </c>
      <c r="C40">
        <v>1</v>
      </c>
      <c r="D40">
        <v>2</v>
      </c>
      <c r="E40">
        <v>3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55</v>
      </c>
      <c r="B41">
        <v>2</v>
      </c>
      <c r="C41">
        <v>1</v>
      </c>
      <c r="D41">
        <v>2</v>
      </c>
      <c r="E41">
        <v>2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36</v>
      </c>
      <c r="B42">
        <v>4</v>
      </c>
      <c r="C42">
        <v>3</v>
      </c>
      <c r="D42">
        <v>6</v>
      </c>
      <c r="E42">
        <v>8</v>
      </c>
      <c r="F42">
        <v>2</v>
      </c>
      <c r="G42" t="b">
        <v>1</v>
      </c>
      <c r="H42" t="b">
        <v>1</v>
      </c>
      <c r="I42" t="b">
        <v>1</v>
      </c>
    </row>
    <row r="43" spans="1:9" x14ac:dyDescent="0.25">
      <c r="A43" t="s">
        <v>50</v>
      </c>
      <c r="B43">
        <v>1</v>
      </c>
      <c r="C43">
        <v>2</v>
      </c>
      <c r="D43">
        <v>1</v>
      </c>
      <c r="E43">
        <v>4</v>
      </c>
      <c r="F43">
        <v>1</v>
      </c>
      <c r="G43" t="b">
        <v>1</v>
      </c>
      <c r="H43" t="b">
        <v>1</v>
      </c>
      <c r="I43" t="b">
        <v>1</v>
      </c>
    </row>
    <row r="44" spans="1:9" x14ac:dyDescent="0.25">
      <c r="A44" t="s">
        <v>47</v>
      </c>
      <c r="B44">
        <v>3</v>
      </c>
      <c r="C44">
        <v>3</v>
      </c>
      <c r="D44">
        <v>6</v>
      </c>
      <c r="E44">
        <v>6</v>
      </c>
      <c r="F44">
        <v>2</v>
      </c>
      <c r="G44" t="b">
        <v>1</v>
      </c>
      <c r="H44" t="b">
        <v>1</v>
      </c>
      <c r="I44" t="b">
        <v>1</v>
      </c>
    </row>
    <row r="45" spans="1:9" x14ac:dyDescent="0.25">
      <c r="A45" t="s">
        <v>50</v>
      </c>
      <c r="B45">
        <v>1</v>
      </c>
      <c r="C45">
        <v>2</v>
      </c>
      <c r="D45">
        <v>1</v>
      </c>
      <c r="E45">
        <v>5</v>
      </c>
      <c r="F45">
        <v>1</v>
      </c>
      <c r="G45" t="b">
        <v>0</v>
      </c>
      <c r="H45" t="b">
        <v>0</v>
      </c>
      <c r="I45" t="b">
        <v>1</v>
      </c>
    </row>
    <row r="46" spans="1:9" x14ac:dyDescent="0.25">
      <c r="A46" t="s">
        <v>67</v>
      </c>
      <c r="B46">
        <v>1</v>
      </c>
      <c r="C46">
        <v>11</v>
      </c>
      <c r="D46">
        <v>11</v>
      </c>
      <c r="E46">
        <v>5</v>
      </c>
      <c r="F46">
        <v>3</v>
      </c>
      <c r="G46" t="b">
        <v>0</v>
      </c>
      <c r="H46" t="b">
        <v>0</v>
      </c>
      <c r="I46" t="b">
        <v>1</v>
      </c>
    </row>
    <row r="47" spans="1:9" x14ac:dyDescent="0.25">
      <c r="A47" t="s">
        <v>49</v>
      </c>
      <c r="B47">
        <v>1</v>
      </c>
      <c r="C47">
        <v>1</v>
      </c>
      <c r="D47">
        <v>4</v>
      </c>
      <c r="E47">
        <v>7</v>
      </c>
      <c r="F47">
        <v>1</v>
      </c>
      <c r="G47" t="b">
        <v>1</v>
      </c>
      <c r="H47" t="b">
        <v>1</v>
      </c>
      <c r="I47" t="b">
        <v>1</v>
      </c>
    </row>
    <row r="48" spans="1:9" x14ac:dyDescent="0.25">
      <c r="A48" t="s">
        <v>51</v>
      </c>
      <c r="B48">
        <v>2</v>
      </c>
      <c r="C48">
        <v>1</v>
      </c>
      <c r="D48">
        <v>6</v>
      </c>
      <c r="E48">
        <v>5</v>
      </c>
      <c r="F48">
        <v>1</v>
      </c>
      <c r="G48" t="b">
        <v>1</v>
      </c>
      <c r="H48" t="b">
        <v>1</v>
      </c>
      <c r="I48" t="b">
        <v>1</v>
      </c>
    </row>
    <row r="49" spans="1:9" x14ac:dyDescent="0.25">
      <c r="A49" t="s">
        <v>36</v>
      </c>
      <c r="B49">
        <v>4</v>
      </c>
      <c r="C49">
        <v>2</v>
      </c>
      <c r="D49">
        <v>3</v>
      </c>
      <c r="E49">
        <v>8</v>
      </c>
      <c r="F49">
        <v>2</v>
      </c>
      <c r="G49" t="b">
        <v>1</v>
      </c>
      <c r="H49" t="b">
        <v>1</v>
      </c>
      <c r="I49" t="b">
        <v>1</v>
      </c>
    </row>
    <row r="50" spans="1:9" x14ac:dyDescent="0.25">
      <c r="A50" t="s">
        <v>50</v>
      </c>
      <c r="B50">
        <v>1</v>
      </c>
      <c r="C50">
        <v>2</v>
      </c>
      <c r="D50">
        <v>1</v>
      </c>
      <c r="E50">
        <v>7</v>
      </c>
      <c r="F50">
        <v>1</v>
      </c>
      <c r="G50" t="b">
        <v>0</v>
      </c>
      <c r="H50" t="b">
        <v>0</v>
      </c>
      <c r="I50" t="b">
        <v>1</v>
      </c>
    </row>
    <row r="51" spans="1:9" x14ac:dyDescent="0.25">
      <c r="A51" t="s">
        <v>69</v>
      </c>
      <c r="B51">
        <v>1</v>
      </c>
      <c r="C51">
        <v>1</v>
      </c>
      <c r="D51">
        <v>3</v>
      </c>
      <c r="E51">
        <v>8</v>
      </c>
      <c r="F51">
        <v>1</v>
      </c>
      <c r="G51" t="b">
        <v>1</v>
      </c>
      <c r="H51" t="b">
        <v>1</v>
      </c>
      <c r="I51" t="b">
        <v>1</v>
      </c>
    </row>
    <row r="52" spans="1:9" x14ac:dyDescent="0.25">
      <c r="A52" t="s">
        <v>51</v>
      </c>
      <c r="B52">
        <v>1</v>
      </c>
      <c r="C52">
        <v>1</v>
      </c>
      <c r="D52">
        <v>1</v>
      </c>
      <c r="E52">
        <v>8</v>
      </c>
      <c r="F52">
        <v>1</v>
      </c>
      <c r="G52" t="b">
        <v>1</v>
      </c>
      <c r="H52" t="b">
        <v>1</v>
      </c>
      <c r="I52" t="b">
        <v>1</v>
      </c>
    </row>
    <row r="53" spans="1:9" x14ac:dyDescent="0.25">
      <c r="A53" t="s">
        <v>93</v>
      </c>
      <c r="B53">
        <v>1</v>
      </c>
      <c r="C53">
        <v>11</v>
      </c>
      <c r="D53">
        <v>7</v>
      </c>
      <c r="E53">
        <v>9</v>
      </c>
      <c r="F53">
        <v>1</v>
      </c>
      <c r="G53" t="b">
        <v>0</v>
      </c>
      <c r="H53" t="b">
        <v>0</v>
      </c>
      <c r="I53" t="b">
        <v>1</v>
      </c>
    </row>
    <row r="54" spans="1:9" x14ac:dyDescent="0.25">
      <c r="A54" t="s">
        <v>51</v>
      </c>
      <c r="B54">
        <v>1</v>
      </c>
      <c r="C54">
        <v>1</v>
      </c>
      <c r="D54">
        <v>4</v>
      </c>
      <c r="E54">
        <v>5</v>
      </c>
      <c r="F54">
        <v>1</v>
      </c>
      <c r="G54" t="b">
        <v>0</v>
      </c>
      <c r="H54" t="b">
        <v>0</v>
      </c>
      <c r="I54" t="b">
        <v>1</v>
      </c>
    </row>
    <row r="55" spans="1:9" x14ac:dyDescent="0.25">
      <c r="A55" t="s">
        <v>51</v>
      </c>
      <c r="B55">
        <v>2</v>
      </c>
      <c r="C55">
        <v>1</v>
      </c>
      <c r="D55">
        <v>4</v>
      </c>
      <c r="E55">
        <v>2</v>
      </c>
      <c r="F55">
        <v>2</v>
      </c>
      <c r="G55" t="b">
        <v>1</v>
      </c>
      <c r="H55" t="b">
        <v>1</v>
      </c>
      <c r="I55" t="b">
        <v>1</v>
      </c>
    </row>
    <row r="56" spans="1:9" x14ac:dyDescent="0.25">
      <c r="A56" t="s">
        <v>49</v>
      </c>
      <c r="B56">
        <v>1</v>
      </c>
      <c r="C56">
        <v>2</v>
      </c>
      <c r="D56">
        <v>2</v>
      </c>
      <c r="E56">
        <v>9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51</v>
      </c>
      <c r="B57">
        <v>2</v>
      </c>
      <c r="C57">
        <v>1</v>
      </c>
      <c r="D57">
        <v>5</v>
      </c>
      <c r="E57">
        <v>3</v>
      </c>
      <c r="F57">
        <v>1</v>
      </c>
      <c r="G57" t="b">
        <v>1</v>
      </c>
      <c r="H57" t="b">
        <v>1</v>
      </c>
      <c r="I57" t="b">
        <v>1</v>
      </c>
    </row>
    <row r="58" spans="1:9" x14ac:dyDescent="0.25">
      <c r="A58" t="s">
        <v>49</v>
      </c>
      <c r="B58">
        <v>1</v>
      </c>
      <c r="C58">
        <v>2</v>
      </c>
      <c r="D58">
        <v>2</v>
      </c>
      <c r="E58">
        <v>7</v>
      </c>
      <c r="F58">
        <v>1</v>
      </c>
      <c r="G58" t="b">
        <v>1</v>
      </c>
      <c r="H58" t="b">
        <v>1</v>
      </c>
      <c r="I58" t="b">
        <v>1</v>
      </c>
    </row>
    <row r="59" spans="1:9" x14ac:dyDescent="0.25">
      <c r="A59" t="s">
        <v>51</v>
      </c>
      <c r="B59">
        <v>1</v>
      </c>
      <c r="C59">
        <v>1</v>
      </c>
      <c r="D59">
        <v>1</v>
      </c>
      <c r="E59">
        <v>10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49</v>
      </c>
      <c r="B60">
        <v>1</v>
      </c>
      <c r="C60">
        <v>2</v>
      </c>
      <c r="D60">
        <v>2</v>
      </c>
      <c r="E60">
        <v>12</v>
      </c>
      <c r="F60">
        <v>1</v>
      </c>
      <c r="G60" t="b">
        <v>0</v>
      </c>
      <c r="H60" t="b">
        <v>0</v>
      </c>
      <c r="I60" t="b">
        <v>1</v>
      </c>
    </row>
    <row r="61" spans="1:9" x14ac:dyDescent="0.25">
      <c r="A61" t="s">
        <v>50</v>
      </c>
      <c r="B61">
        <v>1</v>
      </c>
      <c r="C61">
        <v>3</v>
      </c>
      <c r="D61">
        <v>1</v>
      </c>
      <c r="E61">
        <v>5</v>
      </c>
      <c r="F61">
        <v>1</v>
      </c>
      <c r="G61" t="b">
        <v>0</v>
      </c>
      <c r="H61" t="b">
        <v>0</v>
      </c>
      <c r="I61" t="b">
        <v>1</v>
      </c>
    </row>
    <row r="62" spans="1:9" x14ac:dyDescent="0.25">
      <c r="A62" t="s">
        <v>49</v>
      </c>
      <c r="B62">
        <v>1</v>
      </c>
      <c r="C62">
        <v>2</v>
      </c>
      <c r="D62">
        <v>4</v>
      </c>
      <c r="E62">
        <v>6</v>
      </c>
      <c r="F62">
        <v>1</v>
      </c>
      <c r="G62" t="b">
        <v>0</v>
      </c>
      <c r="H62" t="b">
        <v>0</v>
      </c>
      <c r="I62" t="b">
        <v>1</v>
      </c>
    </row>
    <row r="63" spans="1:9" x14ac:dyDescent="0.25">
      <c r="A63" t="s">
        <v>50</v>
      </c>
      <c r="B63">
        <v>1</v>
      </c>
      <c r="C63">
        <v>3</v>
      </c>
      <c r="D63">
        <v>1</v>
      </c>
      <c r="E63">
        <v>7</v>
      </c>
      <c r="F63">
        <v>1</v>
      </c>
      <c r="G63" t="b">
        <v>0</v>
      </c>
      <c r="H63" t="b">
        <v>0</v>
      </c>
      <c r="I63" t="b">
        <v>1</v>
      </c>
    </row>
    <row r="64" spans="1:9" x14ac:dyDescent="0.25">
      <c r="A64" t="s">
        <v>52</v>
      </c>
      <c r="B64">
        <v>1</v>
      </c>
      <c r="C64">
        <v>2</v>
      </c>
      <c r="D64">
        <v>3</v>
      </c>
      <c r="E64">
        <v>5</v>
      </c>
      <c r="F64">
        <v>1</v>
      </c>
      <c r="G64" t="b">
        <v>0</v>
      </c>
      <c r="H64" t="b">
        <v>0</v>
      </c>
      <c r="I64" t="b">
        <v>1</v>
      </c>
    </row>
    <row r="65" spans="1:9" x14ac:dyDescent="0.25">
      <c r="A65" t="s">
        <v>50</v>
      </c>
      <c r="B65">
        <v>1</v>
      </c>
      <c r="C65">
        <v>2</v>
      </c>
      <c r="D65">
        <v>1</v>
      </c>
      <c r="E65">
        <v>7</v>
      </c>
      <c r="F65">
        <v>1</v>
      </c>
      <c r="G65" t="b">
        <v>0</v>
      </c>
      <c r="H65" t="b">
        <v>0</v>
      </c>
      <c r="I65" t="b">
        <v>1</v>
      </c>
    </row>
    <row r="66" spans="1:9" x14ac:dyDescent="0.25">
      <c r="A66" t="s">
        <v>52</v>
      </c>
      <c r="B66">
        <v>1</v>
      </c>
      <c r="C66">
        <v>1</v>
      </c>
      <c r="D66">
        <v>8</v>
      </c>
      <c r="E66">
        <v>11</v>
      </c>
      <c r="F66">
        <v>1</v>
      </c>
      <c r="G66" t="b">
        <v>1</v>
      </c>
      <c r="H66" t="b">
        <v>1</v>
      </c>
      <c r="I66" t="b">
        <v>1</v>
      </c>
    </row>
    <row r="67" spans="1:9" x14ac:dyDescent="0.25">
      <c r="A67" t="s">
        <v>50</v>
      </c>
      <c r="B67">
        <v>1</v>
      </c>
      <c r="C67">
        <v>2</v>
      </c>
      <c r="D67">
        <v>1</v>
      </c>
      <c r="E67">
        <v>11</v>
      </c>
      <c r="F67">
        <v>1</v>
      </c>
      <c r="G67" t="b">
        <v>1</v>
      </c>
      <c r="H67" t="b">
        <v>1</v>
      </c>
      <c r="I67" t="b">
        <v>1</v>
      </c>
    </row>
    <row r="68" spans="1:9" x14ac:dyDescent="0.25">
      <c r="A68" t="s">
        <v>96</v>
      </c>
      <c r="B68">
        <v>18</v>
      </c>
      <c r="C68">
        <v>10</v>
      </c>
      <c r="D68">
        <v>24</v>
      </c>
      <c r="E68">
        <v>2</v>
      </c>
      <c r="F68">
        <v>210031</v>
      </c>
      <c r="G68" t="b">
        <v>1</v>
      </c>
      <c r="H68" t="b">
        <v>1</v>
      </c>
      <c r="I68" t="b">
        <v>1</v>
      </c>
    </row>
    <row r="69" spans="1:9" x14ac:dyDescent="0.25">
      <c r="A69" t="s">
        <v>67</v>
      </c>
      <c r="B69">
        <v>4</v>
      </c>
      <c r="C69">
        <v>3</v>
      </c>
      <c r="D69">
        <v>11</v>
      </c>
      <c r="E69">
        <v>4</v>
      </c>
      <c r="F69">
        <v>7</v>
      </c>
      <c r="G69" t="b">
        <v>1</v>
      </c>
      <c r="H69" t="b">
        <v>1</v>
      </c>
      <c r="I69" t="b">
        <v>1</v>
      </c>
    </row>
    <row r="70" spans="1:9" x14ac:dyDescent="0.25">
      <c r="A70" t="s">
        <v>39</v>
      </c>
      <c r="B70">
        <v>1</v>
      </c>
      <c r="C70">
        <v>1</v>
      </c>
      <c r="D70">
        <v>2</v>
      </c>
      <c r="E70">
        <v>1</v>
      </c>
      <c r="F70">
        <v>1</v>
      </c>
      <c r="G70" t="b">
        <v>1</v>
      </c>
      <c r="H70" t="b">
        <v>1</v>
      </c>
      <c r="I70" t="b">
        <v>1</v>
      </c>
    </row>
    <row r="71" spans="1:9" x14ac:dyDescent="0.25">
      <c r="A71" t="s">
        <v>30</v>
      </c>
      <c r="B71">
        <v>1</v>
      </c>
      <c r="C71">
        <v>2</v>
      </c>
      <c r="D71">
        <v>1</v>
      </c>
      <c r="E71">
        <v>3</v>
      </c>
      <c r="F71">
        <v>3</v>
      </c>
      <c r="G71" t="b">
        <v>0</v>
      </c>
      <c r="H71" t="b">
        <v>0</v>
      </c>
      <c r="I71" t="b">
        <v>1</v>
      </c>
    </row>
    <row r="72" spans="1:9" x14ac:dyDescent="0.25">
      <c r="A72" t="s">
        <v>50</v>
      </c>
      <c r="B72">
        <v>1</v>
      </c>
      <c r="C72">
        <v>2</v>
      </c>
      <c r="D72">
        <v>3</v>
      </c>
      <c r="E72">
        <v>9</v>
      </c>
      <c r="F72">
        <v>1</v>
      </c>
      <c r="G72" t="b">
        <v>0</v>
      </c>
      <c r="H72" t="b">
        <v>0</v>
      </c>
      <c r="I72" t="b">
        <v>1</v>
      </c>
    </row>
    <row r="73" spans="1:9" x14ac:dyDescent="0.25">
      <c r="A73" t="s">
        <v>67</v>
      </c>
      <c r="B73">
        <v>3</v>
      </c>
      <c r="C73">
        <v>3</v>
      </c>
      <c r="D73">
        <v>3</v>
      </c>
      <c r="E73">
        <v>6</v>
      </c>
      <c r="F73">
        <v>7</v>
      </c>
      <c r="G73" t="b">
        <v>0</v>
      </c>
      <c r="H73" t="b">
        <v>0</v>
      </c>
      <c r="I73" t="b">
        <v>1</v>
      </c>
    </row>
    <row r="74" spans="1:9" x14ac:dyDescent="0.25">
      <c r="A74" t="s">
        <v>65</v>
      </c>
      <c r="B74">
        <v>2</v>
      </c>
      <c r="C74">
        <v>1</v>
      </c>
      <c r="D74">
        <v>5</v>
      </c>
      <c r="E74">
        <v>2</v>
      </c>
      <c r="F74">
        <v>1</v>
      </c>
      <c r="G74" t="b">
        <v>1</v>
      </c>
      <c r="H74" t="b">
        <v>1</v>
      </c>
      <c r="I74" t="b">
        <v>1</v>
      </c>
    </row>
    <row r="75" spans="1:9" x14ac:dyDescent="0.25">
      <c r="A75" t="s">
        <v>61</v>
      </c>
      <c r="B75">
        <v>1</v>
      </c>
      <c r="C75">
        <v>1</v>
      </c>
      <c r="D75">
        <v>4</v>
      </c>
      <c r="E75">
        <v>3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48</v>
      </c>
      <c r="B76">
        <v>1</v>
      </c>
      <c r="C76">
        <v>2</v>
      </c>
      <c r="D76">
        <v>1</v>
      </c>
      <c r="E76">
        <v>2</v>
      </c>
      <c r="F76">
        <v>1</v>
      </c>
      <c r="G76" t="b">
        <v>1</v>
      </c>
      <c r="H76" t="b">
        <v>1</v>
      </c>
      <c r="I76" t="b">
        <v>1</v>
      </c>
    </row>
    <row r="77" spans="1:9" x14ac:dyDescent="0.25">
      <c r="A77" t="s">
        <v>30</v>
      </c>
      <c r="B77">
        <v>1</v>
      </c>
      <c r="C77">
        <v>1</v>
      </c>
      <c r="D77">
        <v>2</v>
      </c>
      <c r="E77">
        <v>5</v>
      </c>
      <c r="F77">
        <v>2</v>
      </c>
      <c r="G77" t="b">
        <v>0</v>
      </c>
      <c r="H77" t="b">
        <v>0</v>
      </c>
      <c r="I77" t="b">
        <v>1</v>
      </c>
    </row>
    <row r="78" spans="1:9" x14ac:dyDescent="0.25">
      <c r="A78" t="s">
        <v>54</v>
      </c>
      <c r="B78">
        <v>5</v>
      </c>
      <c r="C78">
        <v>7</v>
      </c>
      <c r="D78">
        <v>2</v>
      </c>
      <c r="E78">
        <v>4</v>
      </c>
      <c r="F78">
        <v>200021</v>
      </c>
      <c r="G78" t="b">
        <v>1</v>
      </c>
      <c r="H78" t="b">
        <v>1</v>
      </c>
      <c r="I78" t="b">
        <v>1</v>
      </c>
    </row>
    <row r="79" spans="1:9" x14ac:dyDescent="0.25">
      <c r="A79" t="s">
        <v>55</v>
      </c>
      <c r="B79">
        <v>1</v>
      </c>
      <c r="C79">
        <v>1</v>
      </c>
      <c r="D79">
        <v>1</v>
      </c>
      <c r="E79">
        <v>2</v>
      </c>
      <c r="F79">
        <v>3</v>
      </c>
      <c r="G79" t="b">
        <v>1</v>
      </c>
      <c r="H79" t="b">
        <v>1</v>
      </c>
      <c r="I79" t="b">
        <v>1</v>
      </c>
    </row>
    <row r="80" spans="1:9" x14ac:dyDescent="0.25">
      <c r="A80" t="s">
        <v>30</v>
      </c>
      <c r="B80">
        <v>1</v>
      </c>
      <c r="C80">
        <v>1</v>
      </c>
      <c r="D80">
        <v>4</v>
      </c>
      <c r="E80">
        <v>4</v>
      </c>
      <c r="F80">
        <v>2</v>
      </c>
      <c r="G80" t="b">
        <v>1</v>
      </c>
      <c r="H80" t="b">
        <v>1</v>
      </c>
      <c r="I80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E629-BE23-4927-A006-8DC0A1918F94}">
  <dimension ref="A1:V99"/>
  <sheetViews>
    <sheetView workbookViewId="0">
      <selection activeCell="J1" sqref="J1"/>
    </sheetView>
  </sheetViews>
  <sheetFormatPr defaultRowHeight="15" x14ac:dyDescent="0.25"/>
  <cols>
    <col min="3" max="3" width="10.7109375" customWidth="1"/>
  </cols>
  <sheetData>
    <row r="1" spans="1:22" x14ac:dyDescent="0.25">
      <c r="A1" t="s">
        <v>23</v>
      </c>
      <c r="B1">
        <v>1</v>
      </c>
      <c r="C1">
        <v>2</v>
      </c>
      <c r="D1">
        <v>1</v>
      </c>
      <c r="E1">
        <v>1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2" x14ac:dyDescent="0.25">
      <c r="A2" t="s">
        <v>27</v>
      </c>
      <c r="B2">
        <v>2</v>
      </c>
      <c r="C2">
        <v>4</v>
      </c>
      <c r="D2">
        <v>4</v>
      </c>
      <c r="E2">
        <v>2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39</v>
      </c>
      <c r="L2">
        <f>COUNTIF(B1:B1000,"&lt;=5")</f>
        <v>84</v>
      </c>
      <c r="M2">
        <f>COUNTIF(B1:B1000,"&lt;=10")</f>
        <v>94</v>
      </c>
      <c r="N2">
        <f>COUNTIF(C1:C1000,"=1")</f>
        <v>25</v>
      </c>
      <c r="O2">
        <f>COUNTIF(C1:C1000,"&lt;=5")</f>
        <v>49</v>
      </c>
      <c r="P2">
        <f>COUNTIF(C1:C1000,"&lt;=10")</f>
        <v>64</v>
      </c>
      <c r="Q2">
        <f>COUNTIF(D1:D1000,"=1")</f>
        <v>17</v>
      </c>
      <c r="R2">
        <f>COUNTIF(D1:D1000,"&lt;=5")</f>
        <v>38</v>
      </c>
      <c r="S2">
        <f>COUNTIF(D1:D1000,"&lt;=10")</f>
        <v>67</v>
      </c>
      <c r="T2">
        <f>COUNTIF(E1:E1000,"=1")</f>
        <v>20</v>
      </c>
      <c r="U2">
        <f>COUNTIF(E1:E1000,"&lt;=5")</f>
        <v>59</v>
      </c>
      <c r="V2">
        <f>COUNTIF(E1:E1000,"&lt;=10")</f>
        <v>88</v>
      </c>
    </row>
    <row r="3" spans="1:22" x14ac:dyDescent="0.25">
      <c r="A3" t="s">
        <v>28</v>
      </c>
      <c r="B3">
        <v>4</v>
      </c>
      <c r="C3">
        <v>1</v>
      </c>
      <c r="D3">
        <v>2</v>
      </c>
      <c r="E3">
        <v>5</v>
      </c>
      <c r="F3">
        <v>200021</v>
      </c>
      <c r="G3" t="b">
        <v>1</v>
      </c>
      <c r="H3" t="b">
        <v>1</v>
      </c>
      <c r="I3" t="b">
        <v>1</v>
      </c>
    </row>
    <row r="4" spans="1:22" x14ac:dyDescent="0.25">
      <c r="A4" t="s">
        <v>29</v>
      </c>
      <c r="B4">
        <v>1</v>
      </c>
      <c r="C4">
        <v>1</v>
      </c>
      <c r="D4">
        <v>1</v>
      </c>
      <c r="E4">
        <v>2</v>
      </c>
      <c r="F4">
        <v>3</v>
      </c>
      <c r="G4" t="b">
        <v>1</v>
      </c>
      <c r="H4" t="b">
        <v>1</v>
      </c>
      <c r="I4" t="b">
        <v>1</v>
      </c>
    </row>
    <row r="5" spans="1:22" x14ac:dyDescent="0.25">
      <c r="A5" t="s">
        <v>28</v>
      </c>
      <c r="B5">
        <v>4</v>
      </c>
      <c r="C5">
        <v>1</v>
      </c>
      <c r="D5">
        <v>2</v>
      </c>
      <c r="E5">
        <v>5</v>
      </c>
      <c r="F5">
        <v>200021</v>
      </c>
      <c r="G5" t="b">
        <v>1</v>
      </c>
      <c r="H5" t="b">
        <v>1</v>
      </c>
      <c r="I5" t="b">
        <v>1</v>
      </c>
    </row>
    <row r="6" spans="1:22" x14ac:dyDescent="0.25">
      <c r="A6" t="s">
        <v>29</v>
      </c>
      <c r="B6">
        <v>1</v>
      </c>
      <c r="C6">
        <v>1</v>
      </c>
      <c r="D6">
        <v>1</v>
      </c>
      <c r="E6">
        <v>2</v>
      </c>
      <c r="F6">
        <v>3</v>
      </c>
      <c r="G6" t="b">
        <v>1</v>
      </c>
      <c r="H6" t="b">
        <v>1</v>
      </c>
      <c r="I6" t="b">
        <v>1</v>
      </c>
    </row>
    <row r="7" spans="1:22" x14ac:dyDescent="0.25">
      <c r="A7" t="s">
        <v>23</v>
      </c>
      <c r="B7">
        <v>1</v>
      </c>
      <c r="C7">
        <v>3</v>
      </c>
      <c r="D7">
        <v>1</v>
      </c>
      <c r="E7">
        <v>1</v>
      </c>
      <c r="F7">
        <v>1</v>
      </c>
      <c r="G7" t="b">
        <v>1</v>
      </c>
      <c r="H7" t="b">
        <v>1</v>
      </c>
      <c r="I7" t="b">
        <v>1</v>
      </c>
    </row>
    <row r="8" spans="1:22" x14ac:dyDescent="0.25">
      <c r="A8" t="s">
        <v>30</v>
      </c>
      <c r="B8">
        <v>3</v>
      </c>
      <c r="C8">
        <v>3</v>
      </c>
      <c r="D8">
        <v>4</v>
      </c>
      <c r="E8">
        <v>6</v>
      </c>
      <c r="F8">
        <v>1</v>
      </c>
      <c r="G8" t="b">
        <v>1</v>
      </c>
      <c r="H8" t="b">
        <v>1</v>
      </c>
      <c r="I8" t="b">
        <v>1</v>
      </c>
    </row>
    <row r="9" spans="1:22" x14ac:dyDescent="0.25">
      <c r="A9" t="s">
        <v>30</v>
      </c>
      <c r="B9">
        <v>3</v>
      </c>
      <c r="C9">
        <v>3</v>
      </c>
      <c r="D9">
        <v>4</v>
      </c>
      <c r="E9">
        <v>6</v>
      </c>
      <c r="F9">
        <v>2</v>
      </c>
      <c r="G9" t="b">
        <v>1</v>
      </c>
      <c r="H9" t="b">
        <v>1</v>
      </c>
      <c r="I9" t="b">
        <v>1</v>
      </c>
    </row>
    <row r="10" spans="1:22" x14ac:dyDescent="0.25">
      <c r="A10" t="s">
        <v>36</v>
      </c>
      <c r="B10">
        <v>5</v>
      </c>
      <c r="C10">
        <v>61</v>
      </c>
      <c r="D10">
        <v>45</v>
      </c>
      <c r="E10">
        <v>9</v>
      </c>
      <c r="F10">
        <v>2</v>
      </c>
      <c r="G10" t="b">
        <v>1</v>
      </c>
      <c r="H10" t="b">
        <v>1</v>
      </c>
      <c r="I10" t="b">
        <v>1</v>
      </c>
    </row>
    <row r="11" spans="1:22" x14ac:dyDescent="0.25">
      <c r="A11" t="s">
        <v>34</v>
      </c>
      <c r="B11">
        <v>8</v>
      </c>
      <c r="C11">
        <v>66</v>
      </c>
      <c r="D11">
        <v>50</v>
      </c>
      <c r="E11">
        <v>10</v>
      </c>
      <c r="F11">
        <v>6</v>
      </c>
      <c r="G11" t="b">
        <v>1</v>
      </c>
      <c r="H11" t="b">
        <v>1</v>
      </c>
      <c r="I11" t="b">
        <v>1</v>
      </c>
    </row>
    <row r="12" spans="1:22" x14ac:dyDescent="0.25">
      <c r="A12" t="s">
        <v>36</v>
      </c>
      <c r="B12">
        <v>5</v>
      </c>
      <c r="C12">
        <v>61</v>
      </c>
      <c r="D12">
        <v>45</v>
      </c>
      <c r="E12">
        <v>9</v>
      </c>
      <c r="F12">
        <v>2</v>
      </c>
      <c r="G12" t="b">
        <v>1</v>
      </c>
      <c r="H12" t="b">
        <v>1</v>
      </c>
      <c r="I12" t="b">
        <v>1</v>
      </c>
    </row>
    <row r="13" spans="1:22" x14ac:dyDescent="0.25">
      <c r="A13" t="s">
        <v>34</v>
      </c>
      <c r="B13">
        <v>8</v>
      </c>
      <c r="C13">
        <v>66</v>
      </c>
      <c r="D13">
        <v>50</v>
      </c>
      <c r="E13">
        <v>10</v>
      </c>
      <c r="F13">
        <v>6</v>
      </c>
      <c r="G13" t="b">
        <v>1</v>
      </c>
      <c r="H13" t="b">
        <v>1</v>
      </c>
      <c r="I13" t="b">
        <v>1</v>
      </c>
    </row>
    <row r="14" spans="1:22" x14ac:dyDescent="0.25">
      <c r="A14" t="s">
        <v>36</v>
      </c>
      <c r="B14">
        <v>5</v>
      </c>
      <c r="C14">
        <v>61</v>
      </c>
      <c r="D14">
        <v>45</v>
      </c>
      <c r="E14">
        <v>9</v>
      </c>
      <c r="F14">
        <v>2</v>
      </c>
      <c r="G14" t="b">
        <v>1</v>
      </c>
      <c r="H14" t="b">
        <v>1</v>
      </c>
      <c r="I14" t="b">
        <v>1</v>
      </c>
    </row>
    <row r="15" spans="1:22" x14ac:dyDescent="0.25">
      <c r="A15" t="s">
        <v>34</v>
      </c>
      <c r="B15">
        <v>6</v>
      </c>
      <c r="C15">
        <v>66</v>
      </c>
      <c r="D15">
        <v>50</v>
      </c>
      <c r="E15">
        <v>10</v>
      </c>
      <c r="F15">
        <v>2</v>
      </c>
      <c r="G15" t="b">
        <v>1</v>
      </c>
      <c r="H15" t="b">
        <v>1</v>
      </c>
      <c r="I15" t="b">
        <v>1</v>
      </c>
    </row>
    <row r="16" spans="1:22" x14ac:dyDescent="0.25">
      <c r="A16" t="s">
        <v>38</v>
      </c>
      <c r="B16">
        <v>1</v>
      </c>
      <c r="C16">
        <v>15</v>
      </c>
      <c r="D16">
        <v>7</v>
      </c>
      <c r="E16">
        <v>3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37</v>
      </c>
      <c r="B17">
        <v>1</v>
      </c>
      <c r="C17">
        <v>1</v>
      </c>
      <c r="D17">
        <v>8</v>
      </c>
      <c r="E17">
        <v>1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38</v>
      </c>
      <c r="B18">
        <v>1</v>
      </c>
      <c r="C18">
        <v>7</v>
      </c>
      <c r="D18">
        <v>5</v>
      </c>
      <c r="E18">
        <v>10</v>
      </c>
      <c r="F18">
        <v>3</v>
      </c>
      <c r="G18" t="b">
        <v>1</v>
      </c>
      <c r="H18" t="b">
        <v>1</v>
      </c>
      <c r="I18" t="b">
        <v>1</v>
      </c>
    </row>
    <row r="19" spans="1:9" x14ac:dyDescent="0.25">
      <c r="A19" t="s">
        <v>35</v>
      </c>
      <c r="B19">
        <v>4</v>
      </c>
      <c r="C19">
        <v>2</v>
      </c>
      <c r="D19">
        <v>48</v>
      </c>
      <c r="E19">
        <v>4</v>
      </c>
      <c r="F19">
        <v>4</v>
      </c>
      <c r="G19" t="b">
        <v>1</v>
      </c>
      <c r="H19" t="b">
        <v>1</v>
      </c>
      <c r="I19" t="b">
        <v>1</v>
      </c>
    </row>
    <row r="20" spans="1:9" x14ac:dyDescent="0.25">
      <c r="A20" t="s">
        <v>37</v>
      </c>
      <c r="B20">
        <v>1</v>
      </c>
      <c r="C20">
        <v>1</v>
      </c>
      <c r="D20">
        <v>7</v>
      </c>
      <c r="E20">
        <v>1</v>
      </c>
      <c r="F20">
        <v>1</v>
      </c>
      <c r="G20" t="b">
        <v>1</v>
      </c>
      <c r="H20" t="b">
        <v>1</v>
      </c>
      <c r="I20" t="b">
        <v>1</v>
      </c>
    </row>
    <row r="21" spans="1:9" x14ac:dyDescent="0.25">
      <c r="A21" t="s">
        <v>45</v>
      </c>
      <c r="B21">
        <v>1</v>
      </c>
      <c r="C21">
        <v>1</v>
      </c>
      <c r="D21">
        <v>8</v>
      </c>
      <c r="E21">
        <v>2</v>
      </c>
      <c r="F21">
        <v>1</v>
      </c>
      <c r="G21" t="b">
        <v>1</v>
      </c>
      <c r="H21" t="b">
        <v>1</v>
      </c>
      <c r="I21" t="b">
        <v>1</v>
      </c>
    </row>
    <row r="22" spans="1:9" x14ac:dyDescent="0.25">
      <c r="A22" t="s">
        <v>38</v>
      </c>
      <c r="B22">
        <v>1</v>
      </c>
      <c r="C22">
        <v>8</v>
      </c>
      <c r="D22">
        <v>5</v>
      </c>
      <c r="E22">
        <v>11</v>
      </c>
      <c r="F22">
        <v>3</v>
      </c>
      <c r="G22" t="b">
        <v>1</v>
      </c>
      <c r="H22" t="b">
        <v>1</v>
      </c>
      <c r="I22" t="b">
        <v>1</v>
      </c>
    </row>
    <row r="23" spans="1:9" x14ac:dyDescent="0.25">
      <c r="A23" t="s">
        <v>46</v>
      </c>
      <c r="B23">
        <v>2</v>
      </c>
      <c r="C23">
        <v>2</v>
      </c>
      <c r="D23">
        <v>9</v>
      </c>
      <c r="E23">
        <v>3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38</v>
      </c>
      <c r="B24">
        <v>6</v>
      </c>
      <c r="C24">
        <v>15</v>
      </c>
      <c r="D24">
        <v>11</v>
      </c>
      <c r="E24">
        <v>13</v>
      </c>
      <c r="F24">
        <v>3</v>
      </c>
      <c r="G24" t="b">
        <v>1</v>
      </c>
      <c r="H24" t="b">
        <v>1</v>
      </c>
      <c r="I24" t="b">
        <v>1</v>
      </c>
    </row>
    <row r="25" spans="1:9" x14ac:dyDescent="0.25">
      <c r="A25" t="s">
        <v>35</v>
      </c>
      <c r="B25">
        <v>4</v>
      </c>
      <c r="C25">
        <v>2</v>
      </c>
      <c r="D25">
        <v>48</v>
      </c>
      <c r="E25">
        <v>4</v>
      </c>
      <c r="F25">
        <v>4</v>
      </c>
      <c r="G25" t="b">
        <v>1</v>
      </c>
      <c r="H25" t="b">
        <v>1</v>
      </c>
      <c r="I25" t="b">
        <v>1</v>
      </c>
    </row>
    <row r="26" spans="1:9" x14ac:dyDescent="0.25">
      <c r="A26" t="s">
        <v>37</v>
      </c>
      <c r="B26">
        <v>1</v>
      </c>
      <c r="C26">
        <v>1</v>
      </c>
      <c r="D26">
        <v>7</v>
      </c>
      <c r="E26">
        <v>1</v>
      </c>
      <c r="F26">
        <v>1</v>
      </c>
      <c r="G26" t="b">
        <v>1</v>
      </c>
      <c r="H26" t="b">
        <v>1</v>
      </c>
      <c r="I26" t="b">
        <v>1</v>
      </c>
    </row>
    <row r="27" spans="1:9" x14ac:dyDescent="0.25">
      <c r="A27" t="s">
        <v>41</v>
      </c>
      <c r="B27">
        <v>1</v>
      </c>
      <c r="C27">
        <v>3</v>
      </c>
      <c r="D27">
        <v>3</v>
      </c>
      <c r="E27">
        <v>3</v>
      </c>
      <c r="F27">
        <v>3</v>
      </c>
      <c r="G27" t="b">
        <v>1</v>
      </c>
      <c r="H27" t="b">
        <v>1</v>
      </c>
      <c r="I27" t="b">
        <v>1</v>
      </c>
    </row>
    <row r="28" spans="1:9" x14ac:dyDescent="0.25">
      <c r="A28" t="s">
        <v>41</v>
      </c>
      <c r="B28">
        <v>1</v>
      </c>
      <c r="C28">
        <v>5</v>
      </c>
      <c r="D28">
        <v>1</v>
      </c>
      <c r="E28">
        <v>6</v>
      </c>
      <c r="F28">
        <v>1</v>
      </c>
      <c r="G28" t="b">
        <v>1</v>
      </c>
      <c r="H28" t="b">
        <v>1</v>
      </c>
      <c r="I28" t="b">
        <v>1</v>
      </c>
    </row>
    <row r="29" spans="1:9" x14ac:dyDescent="0.25">
      <c r="A29" t="s">
        <v>35</v>
      </c>
      <c r="B29">
        <v>4</v>
      </c>
      <c r="C29">
        <v>2</v>
      </c>
      <c r="D29">
        <v>48</v>
      </c>
      <c r="E29">
        <v>4</v>
      </c>
      <c r="F29">
        <v>4</v>
      </c>
      <c r="G29" t="b">
        <v>1</v>
      </c>
      <c r="H29" t="b">
        <v>1</v>
      </c>
      <c r="I29" t="b">
        <v>1</v>
      </c>
    </row>
    <row r="30" spans="1:9" x14ac:dyDescent="0.25">
      <c r="A30" t="s">
        <v>37</v>
      </c>
      <c r="B30">
        <v>1</v>
      </c>
      <c r="C30">
        <v>1</v>
      </c>
      <c r="D30">
        <v>7</v>
      </c>
      <c r="E30">
        <v>1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42</v>
      </c>
      <c r="B31">
        <v>6</v>
      </c>
      <c r="C31">
        <v>20</v>
      </c>
      <c r="D31">
        <v>10</v>
      </c>
      <c r="E31">
        <v>18</v>
      </c>
      <c r="F31">
        <v>11</v>
      </c>
      <c r="G31" t="b">
        <v>1</v>
      </c>
      <c r="H31" t="b">
        <v>1</v>
      </c>
      <c r="I31" t="b">
        <v>1</v>
      </c>
    </row>
    <row r="32" spans="1:9" x14ac:dyDescent="0.25">
      <c r="A32" t="s">
        <v>41</v>
      </c>
      <c r="B32">
        <v>1</v>
      </c>
      <c r="C32">
        <v>6</v>
      </c>
      <c r="D32">
        <v>1</v>
      </c>
      <c r="E32">
        <v>6</v>
      </c>
      <c r="F32">
        <v>2</v>
      </c>
      <c r="G32" t="b">
        <v>1</v>
      </c>
      <c r="H32" t="b">
        <v>1</v>
      </c>
      <c r="I32" t="b">
        <v>1</v>
      </c>
    </row>
    <row r="33" spans="1:9" x14ac:dyDescent="0.25">
      <c r="A33" t="s">
        <v>36</v>
      </c>
      <c r="B33">
        <v>4</v>
      </c>
      <c r="C33">
        <v>4</v>
      </c>
      <c r="D33">
        <v>6</v>
      </c>
      <c r="E33">
        <v>8</v>
      </c>
      <c r="F33">
        <v>1</v>
      </c>
      <c r="G33" t="b">
        <v>1</v>
      </c>
      <c r="H33" t="b">
        <v>1</v>
      </c>
      <c r="I33" t="b">
        <v>1</v>
      </c>
    </row>
    <row r="34" spans="1:9" x14ac:dyDescent="0.25">
      <c r="A34" t="s">
        <v>44</v>
      </c>
      <c r="B34">
        <v>65</v>
      </c>
      <c r="C34">
        <v>22</v>
      </c>
      <c r="D34">
        <v>125</v>
      </c>
      <c r="E34">
        <v>46</v>
      </c>
      <c r="F34">
        <v>300021</v>
      </c>
      <c r="G34" t="b">
        <v>1</v>
      </c>
      <c r="H34" t="b">
        <v>1</v>
      </c>
      <c r="I34" t="b">
        <v>1</v>
      </c>
    </row>
    <row r="35" spans="1:9" x14ac:dyDescent="0.25">
      <c r="A35" t="s">
        <v>40</v>
      </c>
      <c r="B35">
        <v>14</v>
      </c>
      <c r="C35">
        <v>68</v>
      </c>
      <c r="D35">
        <v>38</v>
      </c>
      <c r="E35">
        <v>22</v>
      </c>
      <c r="F35">
        <v>200021</v>
      </c>
      <c r="G35" t="b">
        <v>1</v>
      </c>
      <c r="H35" t="b">
        <v>1</v>
      </c>
      <c r="I35" t="b">
        <v>1</v>
      </c>
    </row>
    <row r="36" spans="1:9" x14ac:dyDescent="0.25">
      <c r="A36" t="s">
        <v>32</v>
      </c>
      <c r="B36">
        <v>1</v>
      </c>
      <c r="C36">
        <v>1</v>
      </c>
      <c r="D36">
        <v>1</v>
      </c>
      <c r="E36">
        <v>2</v>
      </c>
      <c r="F36">
        <v>3</v>
      </c>
      <c r="G36" t="b">
        <v>1</v>
      </c>
      <c r="H36" t="b">
        <v>1</v>
      </c>
      <c r="I36" t="b">
        <v>1</v>
      </c>
    </row>
    <row r="37" spans="1:9" x14ac:dyDescent="0.25">
      <c r="A37" t="s">
        <v>39</v>
      </c>
      <c r="B37">
        <v>2</v>
      </c>
      <c r="C37">
        <v>2</v>
      </c>
      <c r="D37">
        <v>10</v>
      </c>
      <c r="E37">
        <v>2</v>
      </c>
      <c r="F37">
        <v>1</v>
      </c>
      <c r="G37" t="b">
        <v>1</v>
      </c>
      <c r="H37" t="b">
        <v>1</v>
      </c>
      <c r="I37" t="b">
        <v>1</v>
      </c>
    </row>
    <row r="38" spans="1:9" x14ac:dyDescent="0.25">
      <c r="A38" t="s">
        <v>33</v>
      </c>
      <c r="B38">
        <v>6</v>
      </c>
      <c r="C38">
        <v>15</v>
      </c>
      <c r="D38">
        <v>16</v>
      </c>
      <c r="E38">
        <v>20</v>
      </c>
      <c r="F38">
        <v>3</v>
      </c>
      <c r="G38" t="b">
        <v>1</v>
      </c>
      <c r="H38" t="b">
        <v>1</v>
      </c>
      <c r="I38" t="b">
        <v>1</v>
      </c>
    </row>
    <row r="39" spans="1:9" x14ac:dyDescent="0.25">
      <c r="A39" t="s">
        <v>43</v>
      </c>
      <c r="B39">
        <v>35</v>
      </c>
      <c r="C39">
        <v>11</v>
      </c>
      <c r="D39">
        <v>103</v>
      </c>
      <c r="E39">
        <v>8</v>
      </c>
      <c r="F39">
        <v>210121</v>
      </c>
      <c r="G39" t="b">
        <v>1</v>
      </c>
      <c r="H39" t="b">
        <v>1</v>
      </c>
      <c r="I39" t="b">
        <v>1</v>
      </c>
    </row>
    <row r="40" spans="1:9" x14ac:dyDescent="0.25">
      <c r="A40" t="s">
        <v>39</v>
      </c>
      <c r="B40">
        <v>1</v>
      </c>
      <c r="C40">
        <v>4</v>
      </c>
      <c r="D40">
        <v>44</v>
      </c>
      <c r="E40">
        <v>1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32</v>
      </c>
      <c r="B41">
        <v>2</v>
      </c>
      <c r="C41">
        <v>2</v>
      </c>
      <c r="D41">
        <v>2</v>
      </c>
      <c r="E41">
        <v>5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55</v>
      </c>
      <c r="B42">
        <v>2</v>
      </c>
      <c r="C42">
        <v>2</v>
      </c>
      <c r="D42">
        <v>2</v>
      </c>
      <c r="E42">
        <v>4</v>
      </c>
      <c r="F42">
        <v>1</v>
      </c>
      <c r="G42" t="b">
        <v>1</v>
      </c>
      <c r="H42" t="b">
        <v>1</v>
      </c>
      <c r="I42" t="b">
        <v>1</v>
      </c>
    </row>
    <row r="43" spans="1:9" x14ac:dyDescent="0.25">
      <c r="A43" t="s">
        <v>36</v>
      </c>
      <c r="B43">
        <v>6</v>
      </c>
      <c r="C43">
        <v>6</v>
      </c>
      <c r="D43">
        <v>8</v>
      </c>
      <c r="E43">
        <v>9</v>
      </c>
      <c r="F43">
        <v>2</v>
      </c>
      <c r="G43" t="b">
        <v>1</v>
      </c>
      <c r="H43" t="b">
        <v>1</v>
      </c>
      <c r="I43" t="b">
        <v>1</v>
      </c>
    </row>
    <row r="44" spans="1:9" x14ac:dyDescent="0.25">
      <c r="A44" t="s">
        <v>50</v>
      </c>
      <c r="B44">
        <v>1</v>
      </c>
      <c r="C44">
        <v>4</v>
      </c>
      <c r="D44">
        <v>1</v>
      </c>
      <c r="E44">
        <v>7</v>
      </c>
      <c r="F44">
        <v>1</v>
      </c>
      <c r="G44" t="b">
        <v>1</v>
      </c>
      <c r="H44" t="b">
        <v>1</v>
      </c>
      <c r="I44" t="b">
        <v>1</v>
      </c>
    </row>
    <row r="45" spans="1:9" x14ac:dyDescent="0.25">
      <c r="A45" t="s">
        <v>47</v>
      </c>
      <c r="B45">
        <v>4</v>
      </c>
      <c r="C45">
        <v>4</v>
      </c>
      <c r="D45">
        <v>5</v>
      </c>
      <c r="E45">
        <v>10</v>
      </c>
      <c r="F45">
        <v>2</v>
      </c>
      <c r="G45" t="b">
        <v>1</v>
      </c>
      <c r="H45" t="b">
        <v>1</v>
      </c>
      <c r="I45" t="b">
        <v>1</v>
      </c>
    </row>
    <row r="46" spans="1:9" x14ac:dyDescent="0.25">
      <c r="A46" t="s">
        <v>57</v>
      </c>
      <c r="B46">
        <v>3</v>
      </c>
      <c r="C46">
        <v>11</v>
      </c>
      <c r="D46">
        <v>10</v>
      </c>
      <c r="E46">
        <v>6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37</v>
      </c>
      <c r="B47">
        <v>1</v>
      </c>
      <c r="C47">
        <v>1</v>
      </c>
      <c r="D47">
        <v>6</v>
      </c>
      <c r="E47">
        <v>1</v>
      </c>
      <c r="F47">
        <v>1</v>
      </c>
      <c r="G47" t="b">
        <v>1</v>
      </c>
      <c r="H47" t="b">
        <v>1</v>
      </c>
      <c r="I47" t="b">
        <v>1</v>
      </c>
    </row>
    <row r="48" spans="1:9" x14ac:dyDescent="0.25">
      <c r="A48" t="s">
        <v>49</v>
      </c>
      <c r="B48">
        <v>1</v>
      </c>
      <c r="C48">
        <v>1</v>
      </c>
      <c r="D48">
        <v>13</v>
      </c>
      <c r="E48">
        <v>3</v>
      </c>
      <c r="F48">
        <v>1</v>
      </c>
      <c r="G48" t="b">
        <v>1</v>
      </c>
      <c r="H48" t="b">
        <v>1</v>
      </c>
      <c r="I48" t="b">
        <v>1</v>
      </c>
    </row>
    <row r="49" spans="1:9" x14ac:dyDescent="0.25">
      <c r="A49" t="s">
        <v>51</v>
      </c>
      <c r="B49">
        <v>2</v>
      </c>
      <c r="C49">
        <v>12</v>
      </c>
      <c r="D49">
        <v>4</v>
      </c>
      <c r="E49">
        <v>2</v>
      </c>
      <c r="F49">
        <v>1</v>
      </c>
      <c r="G49" t="b">
        <v>1</v>
      </c>
      <c r="H49" t="b">
        <v>1</v>
      </c>
      <c r="I49" t="b">
        <v>1</v>
      </c>
    </row>
    <row r="50" spans="1:9" x14ac:dyDescent="0.25">
      <c r="A50" t="s">
        <v>36</v>
      </c>
      <c r="B50">
        <v>6</v>
      </c>
      <c r="C50">
        <v>6</v>
      </c>
      <c r="D50">
        <v>8</v>
      </c>
      <c r="E50">
        <v>9</v>
      </c>
      <c r="F50">
        <v>2</v>
      </c>
      <c r="G50" t="b">
        <v>1</v>
      </c>
      <c r="H50" t="b">
        <v>1</v>
      </c>
      <c r="I50" t="b">
        <v>1</v>
      </c>
    </row>
    <row r="51" spans="1:9" x14ac:dyDescent="0.25">
      <c r="A51" t="s">
        <v>51</v>
      </c>
      <c r="B51">
        <v>2</v>
      </c>
      <c r="C51">
        <v>9</v>
      </c>
      <c r="D51">
        <v>7</v>
      </c>
      <c r="E51">
        <v>8</v>
      </c>
      <c r="F51">
        <v>1</v>
      </c>
      <c r="G51" t="b">
        <v>1</v>
      </c>
      <c r="H51" t="b">
        <v>1</v>
      </c>
      <c r="I51" t="b">
        <v>1</v>
      </c>
    </row>
    <row r="52" spans="1:9" x14ac:dyDescent="0.25">
      <c r="A52" t="s">
        <v>69</v>
      </c>
      <c r="B52">
        <v>1</v>
      </c>
      <c r="C52">
        <v>4</v>
      </c>
      <c r="D52">
        <v>30</v>
      </c>
      <c r="E52">
        <v>3</v>
      </c>
      <c r="F52">
        <v>1</v>
      </c>
      <c r="G52" t="b">
        <v>1</v>
      </c>
      <c r="H52" t="b">
        <v>1</v>
      </c>
      <c r="I52" t="b">
        <v>1</v>
      </c>
    </row>
    <row r="53" spans="1:9" x14ac:dyDescent="0.25">
      <c r="A53" t="s">
        <v>51</v>
      </c>
      <c r="B53">
        <v>2</v>
      </c>
      <c r="C53">
        <v>10</v>
      </c>
      <c r="D53">
        <v>7</v>
      </c>
      <c r="E53">
        <v>8</v>
      </c>
      <c r="F53">
        <v>1</v>
      </c>
      <c r="G53" t="b">
        <v>1</v>
      </c>
      <c r="H53" t="b">
        <v>1</v>
      </c>
      <c r="I53" t="b">
        <v>1</v>
      </c>
    </row>
    <row r="54" spans="1:9" x14ac:dyDescent="0.25">
      <c r="A54" t="s">
        <v>51</v>
      </c>
      <c r="B54">
        <v>2</v>
      </c>
      <c r="C54">
        <v>9</v>
      </c>
      <c r="D54">
        <v>7</v>
      </c>
      <c r="E54">
        <v>8</v>
      </c>
      <c r="F54">
        <v>1</v>
      </c>
      <c r="G54" t="b">
        <v>1</v>
      </c>
      <c r="H54" t="b">
        <v>1</v>
      </c>
      <c r="I54" t="b">
        <v>1</v>
      </c>
    </row>
    <row r="55" spans="1:9" x14ac:dyDescent="0.25">
      <c r="A55" t="s">
        <v>68</v>
      </c>
      <c r="B55">
        <v>3</v>
      </c>
      <c r="C55">
        <v>1</v>
      </c>
      <c r="D55">
        <v>20</v>
      </c>
      <c r="E55">
        <v>15</v>
      </c>
      <c r="F55">
        <v>4</v>
      </c>
      <c r="G55" t="b">
        <v>1</v>
      </c>
      <c r="H55" t="b">
        <v>1</v>
      </c>
      <c r="I55" t="b">
        <v>1</v>
      </c>
    </row>
    <row r="56" spans="1:9" x14ac:dyDescent="0.25">
      <c r="A56" t="s">
        <v>60</v>
      </c>
      <c r="B56">
        <v>5</v>
      </c>
      <c r="C56">
        <v>6</v>
      </c>
      <c r="D56">
        <v>4</v>
      </c>
      <c r="E56">
        <v>3</v>
      </c>
      <c r="F56">
        <v>11</v>
      </c>
      <c r="G56" t="b">
        <v>1</v>
      </c>
      <c r="H56" t="b">
        <v>1</v>
      </c>
      <c r="I56" t="b">
        <v>1</v>
      </c>
    </row>
    <row r="57" spans="1:9" x14ac:dyDescent="0.25">
      <c r="A57" t="s">
        <v>51</v>
      </c>
      <c r="B57">
        <v>2</v>
      </c>
      <c r="C57">
        <v>13</v>
      </c>
      <c r="D57">
        <v>4</v>
      </c>
      <c r="E57">
        <v>2</v>
      </c>
      <c r="F57">
        <v>2</v>
      </c>
      <c r="G57" t="b">
        <v>1</v>
      </c>
      <c r="H57" t="b">
        <v>1</v>
      </c>
      <c r="I57" t="b">
        <v>1</v>
      </c>
    </row>
    <row r="58" spans="1:9" x14ac:dyDescent="0.25">
      <c r="A58" t="s">
        <v>49</v>
      </c>
      <c r="B58">
        <v>1</v>
      </c>
      <c r="C58">
        <v>1</v>
      </c>
      <c r="D58">
        <v>13</v>
      </c>
      <c r="E58">
        <v>4</v>
      </c>
      <c r="F58">
        <v>1</v>
      </c>
      <c r="G58" t="b">
        <v>1</v>
      </c>
      <c r="H58" t="b">
        <v>1</v>
      </c>
      <c r="I58" t="b">
        <v>1</v>
      </c>
    </row>
    <row r="59" spans="1:9" x14ac:dyDescent="0.25">
      <c r="A59" t="s">
        <v>51</v>
      </c>
      <c r="B59">
        <v>2</v>
      </c>
      <c r="C59">
        <v>15</v>
      </c>
      <c r="D59">
        <v>4</v>
      </c>
      <c r="E59">
        <v>2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49</v>
      </c>
      <c r="B60">
        <v>1</v>
      </c>
      <c r="C60">
        <v>1</v>
      </c>
      <c r="D60">
        <v>13</v>
      </c>
      <c r="E60">
        <v>4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51</v>
      </c>
      <c r="B61">
        <v>2</v>
      </c>
      <c r="C61">
        <v>15</v>
      </c>
      <c r="D61">
        <v>4</v>
      </c>
      <c r="E61">
        <v>2</v>
      </c>
      <c r="F61">
        <v>1</v>
      </c>
      <c r="G61" t="b">
        <v>1</v>
      </c>
      <c r="H61" t="b">
        <v>1</v>
      </c>
      <c r="I61" t="b">
        <v>1</v>
      </c>
    </row>
    <row r="62" spans="1:9" x14ac:dyDescent="0.25">
      <c r="A62" t="s">
        <v>62</v>
      </c>
      <c r="B62">
        <v>2</v>
      </c>
      <c r="C62">
        <v>8</v>
      </c>
      <c r="D62">
        <v>27</v>
      </c>
      <c r="E62">
        <v>5</v>
      </c>
      <c r="F62">
        <v>1</v>
      </c>
      <c r="G62" t="b">
        <v>1</v>
      </c>
      <c r="H62" t="b">
        <v>1</v>
      </c>
      <c r="I62" t="b">
        <v>1</v>
      </c>
    </row>
    <row r="63" spans="1:9" x14ac:dyDescent="0.25">
      <c r="A63" t="s">
        <v>51</v>
      </c>
      <c r="B63">
        <v>2</v>
      </c>
      <c r="C63">
        <v>13</v>
      </c>
      <c r="D63">
        <v>8</v>
      </c>
      <c r="E63">
        <v>8</v>
      </c>
      <c r="F63">
        <v>1</v>
      </c>
      <c r="G63" t="b">
        <v>1</v>
      </c>
      <c r="H63" t="b">
        <v>1</v>
      </c>
      <c r="I63" t="b">
        <v>1</v>
      </c>
    </row>
    <row r="64" spans="1:9" x14ac:dyDescent="0.25">
      <c r="A64" t="s">
        <v>62</v>
      </c>
      <c r="B64">
        <v>2</v>
      </c>
      <c r="C64">
        <v>8</v>
      </c>
      <c r="D64">
        <v>27</v>
      </c>
      <c r="E64">
        <v>5</v>
      </c>
      <c r="F64">
        <v>1</v>
      </c>
      <c r="G64" t="b">
        <v>1</v>
      </c>
      <c r="H64" t="b">
        <v>1</v>
      </c>
      <c r="I64" t="b">
        <v>1</v>
      </c>
    </row>
    <row r="65" spans="1:9" x14ac:dyDescent="0.25">
      <c r="A65" t="s">
        <v>51</v>
      </c>
      <c r="B65">
        <v>2</v>
      </c>
      <c r="C65">
        <v>13</v>
      </c>
      <c r="D65">
        <v>8</v>
      </c>
      <c r="E65">
        <v>8</v>
      </c>
      <c r="F65">
        <v>1</v>
      </c>
      <c r="G65" t="b">
        <v>1</v>
      </c>
      <c r="H65" t="b">
        <v>1</v>
      </c>
      <c r="I65" t="b">
        <v>1</v>
      </c>
    </row>
    <row r="66" spans="1:9" x14ac:dyDescent="0.25">
      <c r="A66" t="s">
        <v>66</v>
      </c>
      <c r="B66">
        <v>2</v>
      </c>
      <c r="C66">
        <v>8</v>
      </c>
      <c r="D66">
        <v>28</v>
      </c>
      <c r="E66">
        <v>3</v>
      </c>
      <c r="F66">
        <v>1</v>
      </c>
      <c r="G66" t="b">
        <v>1</v>
      </c>
      <c r="H66" t="b">
        <v>1</v>
      </c>
      <c r="I66" t="b">
        <v>1</v>
      </c>
    </row>
    <row r="67" spans="1:9" x14ac:dyDescent="0.25">
      <c r="A67" t="s">
        <v>57</v>
      </c>
      <c r="B67">
        <v>3</v>
      </c>
      <c r="C67">
        <v>13</v>
      </c>
      <c r="D67">
        <v>11</v>
      </c>
      <c r="E67">
        <v>6</v>
      </c>
      <c r="F67">
        <v>1</v>
      </c>
      <c r="G67" t="b">
        <v>1</v>
      </c>
      <c r="H67" t="b">
        <v>1</v>
      </c>
      <c r="I67" t="b">
        <v>1</v>
      </c>
    </row>
    <row r="68" spans="1:9" x14ac:dyDescent="0.25">
      <c r="A68" t="s">
        <v>50</v>
      </c>
      <c r="B68">
        <v>1</v>
      </c>
      <c r="C68">
        <v>6</v>
      </c>
      <c r="D68">
        <v>1</v>
      </c>
      <c r="E68">
        <v>7</v>
      </c>
      <c r="F68">
        <v>1</v>
      </c>
      <c r="G68" t="b">
        <v>1</v>
      </c>
      <c r="H68" t="b">
        <v>1</v>
      </c>
      <c r="I68" t="b">
        <v>1</v>
      </c>
    </row>
    <row r="69" spans="1:9" x14ac:dyDescent="0.25">
      <c r="A69" t="s">
        <v>67</v>
      </c>
      <c r="B69">
        <v>4</v>
      </c>
      <c r="C69">
        <v>21</v>
      </c>
      <c r="D69">
        <v>15</v>
      </c>
      <c r="E69">
        <v>3</v>
      </c>
      <c r="F69">
        <v>7</v>
      </c>
      <c r="G69" t="b">
        <v>1</v>
      </c>
      <c r="H69" t="b">
        <v>1</v>
      </c>
      <c r="I69" t="b">
        <v>1</v>
      </c>
    </row>
    <row r="70" spans="1:9" x14ac:dyDescent="0.25">
      <c r="A70" t="s">
        <v>39</v>
      </c>
      <c r="B70">
        <v>1</v>
      </c>
      <c r="C70">
        <v>1</v>
      </c>
      <c r="D70">
        <v>10</v>
      </c>
      <c r="E70">
        <v>1</v>
      </c>
      <c r="F70">
        <v>1</v>
      </c>
      <c r="G70" t="b">
        <v>1</v>
      </c>
      <c r="H70" t="b">
        <v>1</v>
      </c>
      <c r="I70" t="b">
        <v>1</v>
      </c>
    </row>
    <row r="71" spans="1:9" x14ac:dyDescent="0.25">
      <c r="A71" t="s">
        <v>59</v>
      </c>
      <c r="B71">
        <v>49</v>
      </c>
      <c r="C71">
        <v>4</v>
      </c>
      <c r="D71">
        <v>35</v>
      </c>
      <c r="E71">
        <v>25</v>
      </c>
      <c r="F71">
        <v>310031</v>
      </c>
      <c r="G71" t="b">
        <v>1</v>
      </c>
      <c r="H71" t="b">
        <v>1</v>
      </c>
      <c r="I71" t="b">
        <v>1</v>
      </c>
    </row>
    <row r="72" spans="1:9" x14ac:dyDescent="0.25">
      <c r="A72" t="s">
        <v>64</v>
      </c>
      <c r="B72">
        <v>15</v>
      </c>
      <c r="C72">
        <v>15</v>
      </c>
      <c r="D72">
        <v>15</v>
      </c>
      <c r="E72">
        <v>5</v>
      </c>
      <c r="F72">
        <v>210031</v>
      </c>
      <c r="G72" t="b">
        <v>1</v>
      </c>
      <c r="H72" t="b">
        <v>1</v>
      </c>
      <c r="I72" t="b">
        <v>1</v>
      </c>
    </row>
    <row r="73" spans="1:9" x14ac:dyDescent="0.25">
      <c r="A73" t="s">
        <v>56</v>
      </c>
      <c r="B73">
        <v>3</v>
      </c>
      <c r="C73">
        <v>19</v>
      </c>
      <c r="D73">
        <v>7</v>
      </c>
      <c r="E73">
        <v>4</v>
      </c>
      <c r="F73">
        <v>7</v>
      </c>
      <c r="G73" t="b">
        <v>1</v>
      </c>
      <c r="H73" t="b">
        <v>1</v>
      </c>
      <c r="I73" t="b">
        <v>1</v>
      </c>
    </row>
    <row r="74" spans="1:9" x14ac:dyDescent="0.25">
      <c r="A74" t="s">
        <v>65</v>
      </c>
      <c r="B74">
        <v>2</v>
      </c>
      <c r="C74">
        <v>2</v>
      </c>
      <c r="D74">
        <v>10</v>
      </c>
      <c r="E74">
        <v>2</v>
      </c>
      <c r="F74">
        <v>1</v>
      </c>
      <c r="G74" t="b">
        <v>1</v>
      </c>
      <c r="H74" t="b">
        <v>1</v>
      </c>
      <c r="I74" t="b">
        <v>1</v>
      </c>
    </row>
    <row r="75" spans="1:9" x14ac:dyDescent="0.25">
      <c r="A75" t="s">
        <v>61</v>
      </c>
      <c r="B75">
        <v>1</v>
      </c>
      <c r="C75">
        <v>1</v>
      </c>
      <c r="D75">
        <v>9</v>
      </c>
      <c r="E75">
        <v>1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48</v>
      </c>
      <c r="B76">
        <v>1</v>
      </c>
      <c r="C76">
        <v>12</v>
      </c>
      <c r="D76">
        <v>1</v>
      </c>
      <c r="E76">
        <v>1</v>
      </c>
      <c r="F76">
        <v>1</v>
      </c>
      <c r="G76" t="b">
        <v>1</v>
      </c>
      <c r="H76" t="b">
        <v>1</v>
      </c>
      <c r="I76" t="b">
        <v>1</v>
      </c>
    </row>
    <row r="77" spans="1:9" x14ac:dyDescent="0.25">
      <c r="A77" t="s">
        <v>36</v>
      </c>
      <c r="B77">
        <v>2</v>
      </c>
      <c r="C77">
        <v>45</v>
      </c>
      <c r="D77">
        <v>14</v>
      </c>
      <c r="E77">
        <v>3</v>
      </c>
      <c r="F77">
        <v>2</v>
      </c>
      <c r="G77" t="b">
        <v>1</v>
      </c>
      <c r="H77" t="b">
        <v>1</v>
      </c>
      <c r="I77" t="b">
        <v>1</v>
      </c>
    </row>
    <row r="78" spans="1:9" x14ac:dyDescent="0.25">
      <c r="A78" t="s">
        <v>54</v>
      </c>
      <c r="B78">
        <v>9</v>
      </c>
      <c r="C78">
        <v>1</v>
      </c>
      <c r="D78">
        <v>2</v>
      </c>
      <c r="E78">
        <v>16</v>
      </c>
      <c r="F78">
        <v>200021</v>
      </c>
      <c r="G78" t="b">
        <v>1</v>
      </c>
      <c r="H78" t="b">
        <v>1</v>
      </c>
      <c r="I78" t="b">
        <v>1</v>
      </c>
    </row>
    <row r="79" spans="1:9" x14ac:dyDescent="0.25">
      <c r="A79" t="s">
        <v>55</v>
      </c>
      <c r="B79">
        <v>1</v>
      </c>
      <c r="C79">
        <v>1</v>
      </c>
      <c r="D79">
        <v>1</v>
      </c>
      <c r="E79">
        <v>2</v>
      </c>
      <c r="F79">
        <v>3</v>
      </c>
      <c r="G79" t="b">
        <v>1</v>
      </c>
      <c r="H79" t="b">
        <v>1</v>
      </c>
      <c r="I79" t="b">
        <v>1</v>
      </c>
    </row>
    <row r="80" spans="1:9" x14ac:dyDescent="0.25">
      <c r="A80" t="s">
        <v>63</v>
      </c>
      <c r="B80">
        <v>6</v>
      </c>
      <c r="C80">
        <v>5</v>
      </c>
      <c r="D80">
        <v>24</v>
      </c>
      <c r="E80">
        <v>7</v>
      </c>
      <c r="F80">
        <v>200021</v>
      </c>
      <c r="G80" t="b">
        <v>1</v>
      </c>
      <c r="H80" t="b">
        <v>1</v>
      </c>
      <c r="I80" t="b">
        <v>1</v>
      </c>
    </row>
    <row r="81" spans="1:9" x14ac:dyDescent="0.25">
      <c r="A81" t="s">
        <v>37</v>
      </c>
      <c r="B81">
        <v>1</v>
      </c>
      <c r="C81">
        <v>1</v>
      </c>
      <c r="D81">
        <v>6</v>
      </c>
      <c r="E81">
        <v>1</v>
      </c>
      <c r="F81">
        <v>1</v>
      </c>
      <c r="G81" t="b">
        <v>1</v>
      </c>
      <c r="H81" t="b">
        <v>1</v>
      </c>
      <c r="I81" t="b">
        <v>1</v>
      </c>
    </row>
    <row r="82" spans="1:9" x14ac:dyDescent="0.25">
      <c r="A82" t="s">
        <v>65</v>
      </c>
      <c r="B82">
        <v>2</v>
      </c>
      <c r="C82">
        <v>2</v>
      </c>
      <c r="D82">
        <v>10</v>
      </c>
      <c r="E82">
        <v>2</v>
      </c>
      <c r="F82">
        <v>1</v>
      </c>
      <c r="G82" t="b">
        <v>1</v>
      </c>
      <c r="H82" t="b">
        <v>1</v>
      </c>
      <c r="I82" t="b">
        <v>1</v>
      </c>
    </row>
    <row r="83" spans="1:9" x14ac:dyDescent="0.25">
      <c r="A83" t="s">
        <v>61</v>
      </c>
      <c r="B83">
        <v>1</v>
      </c>
      <c r="C83">
        <v>1</v>
      </c>
      <c r="D83">
        <v>9</v>
      </c>
      <c r="E83">
        <v>1</v>
      </c>
      <c r="F83">
        <v>1</v>
      </c>
      <c r="G83" t="b">
        <v>1</v>
      </c>
      <c r="H83" t="b">
        <v>1</v>
      </c>
      <c r="I83" t="b">
        <v>1</v>
      </c>
    </row>
    <row r="84" spans="1:9" x14ac:dyDescent="0.25">
      <c r="A84" t="s">
        <v>48</v>
      </c>
      <c r="B84">
        <v>1</v>
      </c>
      <c r="C84">
        <v>12</v>
      </c>
      <c r="D84">
        <v>1</v>
      </c>
      <c r="E84">
        <v>1</v>
      </c>
      <c r="F84">
        <v>1</v>
      </c>
      <c r="G84" t="b">
        <v>1</v>
      </c>
      <c r="H84" t="b">
        <v>1</v>
      </c>
      <c r="I84" t="b">
        <v>1</v>
      </c>
    </row>
    <row r="85" spans="1:9" x14ac:dyDescent="0.25">
      <c r="A85" t="s">
        <v>48</v>
      </c>
      <c r="B85">
        <v>1</v>
      </c>
      <c r="C85">
        <v>11</v>
      </c>
      <c r="D85">
        <v>1</v>
      </c>
      <c r="E85">
        <v>1</v>
      </c>
      <c r="F85">
        <v>1</v>
      </c>
      <c r="G85" t="b">
        <v>1</v>
      </c>
      <c r="H85" t="b">
        <v>1</v>
      </c>
      <c r="I85" t="b">
        <v>1</v>
      </c>
    </row>
    <row r="86" spans="1:9" x14ac:dyDescent="0.25">
      <c r="A86" t="s">
        <v>51</v>
      </c>
      <c r="B86">
        <v>2</v>
      </c>
      <c r="C86">
        <v>11</v>
      </c>
      <c r="D86">
        <v>8</v>
      </c>
      <c r="E86">
        <v>8</v>
      </c>
      <c r="F86">
        <v>1</v>
      </c>
      <c r="G86" t="b">
        <v>1</v>
      </c>
      <c r="H86" t="b">
        <v>1</v>
      </c>
      <c r="I86" t="b">
        <v>1</v>
      </c>
    </row>
    <row r="87" spans="1:9" x14ac:dyDescent="0.25">
      <c r="A87" t="s">
        <v>49</v>
      </c>
      <c r="B87">
        <v>2</v>
      </c>
      <c r="C87">
        <v>1</v>
      </c>
      <c r="D87">
        <v>13</v>
      </c>
      <c r="E87">
        <v>3</v>
      </c>
      <c r="F87">
        <v>2</v>
      </c>
      <c r="G87" t="b">
        <v>1</v>
      </c>
      <c r="H87" t="b">
        <v>1</v>
      </c>
      <c r="I87" t="b">
        <v>1</v>
      </c>
    </row>
    <row r="88" spans="1:9" x14ac:dyDescent="0.25">
      <c r="A88" t="s">
        <v>51</v>
      </c>
      <c r="B88">
        <v>2</v>
      </c>
      <c r="C88">
        <v>13</v>
      </c>
      <c r="D88">
        <v>4</v>
      </c>
      <c r="E88">
        <v>2</v>
      </c>
      <c r="F88">
        <v>1</v>
      </c>
      <c r="G88" t="b">
        <v>1</v>
      </c>
      <c r="H88" t="b">
        <v>1</v>
      </c>
      <c r="I88" t="b">
        <v>1</v>
      </c>
    </row>
    <row r="89" spans="1:9" x14ac:dyDescent="0.25">
      <c r="A89" t="s">
        <v>51</v>
      </c>
      <c r="B89">
        <v>2</v>
      </c>
      <c r="C89">
        <v>9</v>
      </c>
      <c r="D89">
        <v>7</v>
      </c>
      <c r="E89">
        <v>8</v>
      </c>
      <c r="F89">
        <v>1</v>
      </c>
      <c r="G89" t="b">
        <v>1</v>
      </c>
      <c r="H89" t="b">
        <v>1</v>
      </c>
      <c r="I89" t="b">
        <v>1</v>
      </c>
    </row>
    <row r="90" spans="1:9" x14ac:dyDescent="0.25">
      <c r="A90" t="s">
        <v>58</v>
      </c>
      <c r="B90">
        <v>1</v>
      </c>
      <c r="C90">
        <v>1</v>
      </c>
      <c r="D90">
        <v>11</v>
      </c>
      <c r="E90">
        <v>4</v>
      </c>
      <c r="F90">
        <v>1</v>
      </c>
      <c r="G90" t="b">
        <v>1</v>
      </c>
      <c r="H90" t="b">
        <v>1</v>
      </c>
      <c r="I90" t="b">
        <v>1</v>
      </c>
    </row>
    <row r="91" spans="1:9" x14ac:dyDescent="0.25">
      <c r="A91" t="s">
        <v>53</v>
      </c>
      <c r="B91">
        <v>2</v>
      </c>
      <c r="C91">
        <v>9</v>
      </c>
      <c r="D91">
        <v>55</v>
      </c>
      <c r="E91">
        <v>15</v>
      </c>
      <c r="F91">
        <v>1</v>
      </c>
      <c r="G91" t="b">
        <v>1</v>
      </c>
      <c r="H91" t="b">
        <v>1</v>
      </c>
      <c r="I91" t="b">
        <v>1</v>
      </c>
    </row>
    <row r="92" spans="1:9" x14ac:dyDescent="0.25">
      <c r="A92" t="s">
        <v>39</v>
      </c>
      <c r="B92">
        <v>1</v>
      </c>
      <c r="C92">
        <v>1</v>
      </c>
      <c r="D92">
        <v>10</v>
      </c>
      <c r="E92">
        <v>1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30</v>
      </c>
      <c r="B93">
        <v>3</v>
      </c>
      <c r="C93">
        <v>3</v>
      </c>
      <c r="D93">
        <v>4</v>
      </c>
      <c r="E93">
        <v>6</v>
      </c>
      <c r="F93">
        <v>2</v>
      </c>
      <c r="G93" t="b">
        <v>1</v>
      </c>
      <c r="H93" t="b">
        <v>1</v>
      </c>
      <c r="I93" t="b">
        <v>1</v>
      </c>
    </row>
    <row r="94" spans="1:9" x14ac:dyDescent="0.25">
      <c r="A94" t="s">
        <v>48</v>
      </c>
      <c r="B94">
        <v>1</v>
      </c>
      <c r="C94">
        <v>14</v>
      </c>
      <c r="D94">
        <v>1</v>
      </c>
      <c r="E94">
        <v>1</v>
      </c>
      <c r="F94">
        <v>1</v>
      </c>
      <c r="G94" t="b">
        <v>1</v>
      </c>
      <c r="H94" t="b">
        <v>1</v>
      </c>
      <c r="I94" t="b">
        <v>1</v>
      </c>
    </row>
    <row r="95" spans="1:9" x14ac:dyDescent="0.25">
      <c r="A95" t="s">
        <v>48</v>
      </c>
      <c r="B95">
        <v>1</v>
      </c>
      <c r="C95">
        <v>14</v>
      </c>
      <c r="D95">
        <v>1</v>
      </c>
      <c r="E95">
        <v>1</v>
      </c>
      <c r="F95">
        <v>1</v>
      </c>
      <c r="G95" t="b">
        <v>1</v>
      </c>
      <c r="H95" t="b">
        <v>1</v>
      </c>
      <c r="I95" t="b">
        <v>1</v>
      </c>
    </row>
    <row r="96" spans="1:9" x14ac:dyDescent="0.25">
      <c r="A96" t="s">
        <v>48</v>
      </c>
      <c r="B96">
        <v>1</v>
      </c>
      <c r="C96">
        <v>14</v>
      </c>
      <c r="D96">
        <v>1</v>
      </c>
      <c r="E96">
        <v>1</v>
      </c>
      <c r="F96">
        <v>1</v>
      </c>
      <c r="G96" t="b">
        <v>1</v>
      </c>
      <c r="H96" t="b">
        <v>1</v>
      </c>
      <c r="I96" t="b">
        <v>1</v>
      </c>
    </row>
    <row r="97" spans="1:9" x14ac:dyDescent="0.25">
      <c r="A97" t="s">
        <v>51</v>
      </c>
      <c r="B97">
        <v>2</v>
      </c>
      <c r="C97">
        <v>11</v>
      </c>
      <c r="D97">
        <v>4</v>
      </c>
      <c r="E97">
        <v>12</v>
      </c>
      <c r="F97">
        <v>1</v>
      </c>
      <c r="G97" t="b">
        <v>1</v>
      </c>
      <c r="H97" t="b">
        <v>1</v>
      </c>
      <c r="I97" t="b">
        <v>1</v>
      </c>
    </row>
    <row r="98" spans="1:9" x14ac:dyDescent="0.25">
      <c r="A98" t="s">
        <v>39</v>
      </c>
      <c r="B98">
        <v>1</v>
      </c>
      <c r="C98">
        <v>1</v>
      </c>
      <c r="D98">
        <v>3</v>
      </c>
      <c r="E98">
        <v>4</v>
      </c>
      <c r="F98">
        <v>1</v>
      </c>
      <c r="G98" t="b">
        <v>1</v>
      </c>
      <c r="H98" t="b">
        <v>1</v>
      </c>
      <c r="I98" t="b">
        <v>1</v>
      </c>
    </row>
    <row r="99" spans="1:9" x14ac:dyDescent="0.25">
      <c r="A99" t="s">
        <v>48</v>
      </c>
      <c r="B99">
        <v>1</v>
      </c>
      <c r="C99">
        <v>14</v>
      </c>
      <c r="D99">
        <v>1</v>
      </c>
      <c r="E99">
        <v>1</v>
      </c>
      <c r="F99">
        <v>1</v>
      </c>
      <c r="G99" t="b">
        <v>1</v>
      </c>
      <c r="H99" t="b">
        <v>1</v>
      </c>
      <c r="I9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245B-ACAA-4CF6-BED5-F5528E637D34}">
  <dimension ref="A1:V100"/>
  <sheetViews>
    <sheetView workbookViewId="0">
      <selection activeCell="J1" sqref="J1"/>
    </sheetView>
  </sheetViews>
  <sheetFormatPr defaultRowHeight="15" x14ac:dyDescent="0.25"/>
  <sheetData>
    <row r="1" spans="1:22" x14ac:dyDescent="0.25">
      <c r="A1" t="s">
        <v>23</v>
      </c>
      <c r="B1">
        <v>1</v>
      </c>
      <c r="C1">
        <v>2</v>
      </c>
      <c r="D1">
        <v>1</v>
      </c>
      <c r="E1">
        <v>1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2" x14ac:dyDescent="0.25">
      <c r="A2" t="s">
        <v>27</v>
      </c>
      <c r="B2">
        <v>2</v>
      </c>
      <c r="C2">
        <v>4</v>
      </c>
      <c r="D2">
        <v>4</v>
      </c>
      <c r="E2">
        <v>2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70</v>
      </c>
      <c r="L2">
        <f>COUNTIF(B1:B1000,"&lt;=5")</f>
        <v>94</v>
      </c>
      <c r="M2">
        <f>COUNTIF(B1:B1000,"&lt;=10")</f>
        <v>99</v>
      </c>
      <c r="N2">
        <f>COUNTIF(C1:C1000,"=1")</f>
        <v>27</v>
      </c>
      <c r="O2">
        <f>COUNTIF(C1:C1000,"&lt;=5")</f>
        <v>50</v>
      </c>
      <c r="P2">
        <f>COUNTIF(C1:C1000,"&lt;=10")</f>
        <v>67</v>
      </c>
      <c r="Q2">
        <f>COUNTIF(D1:D1000,"=1")</f>
        <v>27</v>
      </c>
      <c r="R2">
        <f>COUNTIF(D1:D1000,"&lt;=5")</f>
        <v>48</v>
      </c>
      <c r="S2">
        <f>COUNTIF(D1:D1000,"&lt;=10")</f>
        <v>73</v>
      </c>
      <c r="T2">
        <f>COUNTIF(E1:E1000,"=1")</f>
        <v>20</v>
      </c>
      <c r="U2">
        <f>COUNTIF(E1:E1000,"&lt;=5")</f>
        <v>61</v>
      </c>
      <c r="V2">
        <f>COUNTIF(E1:E1000,"&lt;=10")</f>
        <v>83</v>
      </c>
    </row>
    <row r="3" spans="1:22" x14ac:dyDescent="0.25">
      <c r="A3" t="s">
        <v>28</v>
      </c>
      <c r="B3">
        <v>4</v>
      </c>
      <c r="C3">
        <v>1</v>
      </c>
      <c r="D3">
        <v>2</v>
      </c>
      <c r="E3">
        <v>5</v>
      </c>
      <c r="F3">
        <v>200021</v>
      </c>
      <c r="G3" t="b">
        <v>1</v>
      </c>
      <c r="H3" t="b">
        <v>1</v>
      </c>
      <c r="I3" t="b">
        <v>1</v>
      </c>
    </row>
    <row r="4" spans="1:22" x14ac:dyDescent="0.25">
      <c r="A4" t="s">
        <v>29</v>
      </c>
      <c r="B4">
        <v>1</v>
      </c>
      <c r="C4">
        <v>1</v>
      </c>
      <c r="D4">
        <v>1</v>
      </c>
      <c r="E4">
        <v>2</v>
      </c>
      <c r="F4">
        <v>3</v>
      </c>
      <c r="G4" t="b">
        <v>1</v>
      </c>
      <c r="H4" t="b">
        <v>1</v>
      </c>
      <c r="I4" t="b">
        <v>1</v>
      </c>
    </row>
    <row r="5" spans="1:22" x14ac:dyDescent="0.25">
      <c r="A5" t="s">
        <v>28</v>
      </c>
      <c r="B5">
        <v>4</v>
      </c>
      <c r="C5">
        <v>1</v>
      </c>
      <c r="D5">
        <v>2</v>
      </c>
      <c r="E5">
        <v>5</v>
      </c>
      <c r="F5">
        <v>200021</v>
      </c>
      <c r="G5" t="b">
        <v>1</v>
      </c>
      <c r="H5" t="b">
        <v>1</v>
      </c>
      <c r="I5" t="b">
        <v>1</v>
      </c>
    </row>
    <row r="6" spans="1:22" x14ac:dyDescent="0.25">
      <c r="A6" t="s">
        <v>29</v>
      </c>
      <c r="B6">
        <v>1</v>
      </c>
      <c r="C6">
        <v>1</v>
      </c>
      <c r="D6">
        <v>1</v>
      </c>
      <c r="E6">
        <v>2</v>
      </c>
      <c r="F6">
        <v>3</v>
      </c>
      <c r="G6" t="b">
        <v>1</v>
      </c>
      <c r="H6" t="b">
        <v>1</v>
      </c>
      <c r="I6" t="b">
        <v>1</v>
      </c>
    </row>
    <row r="7" spans="1:22" x14ac:dyDescent="0.25">
      <c r="A7" t="s">
        <v>23</v>
      </c>
      <c r="B7">
        <v>1</v>
      </c>
      <c r="C7">
        <v>3</v>
      </c>
      <c r="D7">
        <v>1</v>
      </c>
      <c r="E7">
        <v>1</v>
      </c>
      <c r="F7">
        <v>1</v>
      </c>
      <c r="G7" t="b">
        <v>1</v>
      </c>
      <c r="H7" t="b">
        <v>1</v>
      </c>
      <c r="I7" t="b">
        <v>1</v>
      </c>
    </row>
    <row r="8" spans="1:22" x14ac:dyDescent="0.25">
      <c r="A8" t="s">
        <v>30</v>
      </c>
      <c r="B8">
        <v>3</v>
      </c>
      <c r="C8">
        <v>3</v>
      </c>
      <c r="D8">
        <v>4</v>
      </c>
      <c r="E8">
        <v>6</v>
      </c>
      <c r="F8">
        <v>1</v>
      </c>
      <c r="G8" t="b">
        <v>1</v>
      </c>
      <c r="H8" t="b">
        <v>1</v>
      </c>
      <c r="I8" t="b">
        <v>1</v>
      </c>
    </row>
    <row r="9" spans="1:22" x14ac:dyDescent="0.25">
      <c r="A9" t="s">
        <v>30</v>
      </c>
      <c r="B9">
        <v>3</v>
      </c>
      <c r="C9">
        <v>3</v>
      </c>
      <c r="D9">
        <v>4</v>
      </c>
      <c r="E9">
        <v>6</v>
      </c>
      <c r="F9">
        <v>2</v>
      </c>
      <c r="G9" t="b">
        <v>1</v>
      </c>
      <c r="H9" t="b">
        <v>1</v>
      </c>
      <c r="I9" t="b">
        <v>1</v>
      </c>
    </row>
    <row r="10" spans="1:22" x14ac:dyDescent="0.25">
      <c r="A10" t="s">
        <v>92</v>
      </c>
      <c r="B10">
        <v>1</v>
      </c>
      <c r="C10">
        <v>18</v>
      </c>
      <c r="D10">
        <v>122</v>
      </c>
      <c r="E10">
        <v>12</v>
      </c>
      <c r="F10">
        <v>1</v>
      </c>
      <c r="G10" t="b">
        <v>0</v>
      </c>
      <c r="H10" t="b">
        <v>0</v>
      </c>
      <c r="I10" t="b">
        <v>1</v>
      </c>
    </row>
    <row r="11" spans="1:22" x14ac:dyDescent="0.25">
      <c r="A11" t="s">
        <v>92</v>
      </c>
      <c r="B11">
        <v>1</v>
      </c>
      <c r="C11">
        <v>18</v>
      </c>
      <c r="D11">
        <v>122</v>
      </c>
      <c r="E11">
        <v>12</v>
      </c>
      <c r="F11">
        <v>1</v>
      </c>
      <c r="G11" t="b">
        <v>0</v>
      </c>
      <c r="H11" t="b">
        <v>0</v>
      </c>
      <c r="I11" t="b">
        <v>1</v>
      </c>
    </row>
    <row r="12" spans="1:22" x14ac:dyDescent="0.25">
      <c r="A12" t="s">
        <v>92</v>
      </c>
      <c r="B12">
        <v>1</v>
      </c>
      <c r="C12">
        <v>18</v>
      </c>
      <c r="D12">
        <v>122</v>
      </c>
      <c r="E12">
        <v>12</v>
      </c>
      <c r="F12">
        <v>1</v>
      </c>
      <c r="G12" t="b">
        <v>0</v>
      </c>
      <c r="H12" t="b">
        <v>0</v>
      </c>
      <c r="I12" t="b">
        <v>1</v>
      </c>
    </row>
    <row r="13" spans="1:22" x14ac:dyDescent="0.25">
      <c r="A13" t="s">
        <v>92</v>
      </c>
      <c r="B13">
        <v>1</v>
      </c>
      <c r="C13">
        <v>18</v>
      </c>
      <c r="D13">
        <v>122</v>
      </c>
      <c r="E13">
        <v>12</v>
      </c>
      <c r="F13">
        <v>1</v>
      </c>
      <c r="G13" t="b">
        <v>0</v>
      </c>
      <c r="H13" t="b">
        <v>0</v>
      </c>
      <c r="I13" t="b">
        <v>1</v>
      </c>
    </row>
    <row r="14" spans="1:22" x14ac:dyDescent="0.25">
      <c r="A14" t="s">
        <v>92</v>
      </c>
      <c r="B14">
        <v>1</v>
      </c>
      <c r="C14">
        <v>18</v>
      </c>
      <c r="D14">
        <v>122</v>
      </c>
      <c r="E14">
        <v>12</v>
      </c>
      <c r="F14">
        <v>1</v>
      </c>
      <c r="G14" t="b">
        <v>0</v>
      </c>
      <c r="H14" t="b">
        <v>0</v>
      </c>
      <c r="I14" t="b">
        <v>1</v>
      </c>
    </row>
    <row r="15" spans="1:22" x14ac:dyDescent="0.25">
      <c r="A15" t="s">
        <v>92</v>
      </c>
      <c r="B15">
        <v>1</v>
      </c>
      <c r="C15">
        <v>18</v>
      </c>
      <c r="D15">
        <v>122</v>
      </c>
      <c r="E15">
        <v>12</v>
      </c>
      <c r="F15">
        <v>1</v>
      </c>
      <c r="G15" t="b">
        <v>0</v>
      </c>
      <c r="H15" t="b">
        <v>0</v>
      </c>
      <c r="I15" t="b">
        <v>1</v>
      </c>
    </row>
    <row r="16" spans="1:22" x14ac:dyDescent="0.25">
      <c r="A16" t="s">
        <v>38</v>
      </c>
      <c r="B16">
        <v>1</v>
      </c>
      <c r="C16">
        <v>15</v>
      </c>
      <c r="D16">
        <v>7</v>
      </c>
      <c r="E16">
        <v>3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37</v>
      </c>
      <c r="B17">
        <v>1</v>
      </c>
      <c r="C17">
        <v>1</v>
      </c>
      <c r="D17">
        <v>8</v>
      </c>
      <c r="E17">
        <v>1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38</v>
      </c>
      <c r="B18">
        <v>1</v>
      </c>
      <c r="C18">
        <v>7</v>
      </c>
      <c r="D18">
        <v>5</v>
      </c>
      <c r="E18">
        <v>10</v>
      </c>
      <c r="F18">
        <v>3</v>
      </c>
      <c r="G18" t="b">
        <v>1</v>
      </c>
      <c r="H18" t="b">
        <v>1</v>
      </c>
      <c r="I18" t="b">
        <v>1</v>
      </c>
    </row>
    <row r="19" spans="1:9" x14ac:dyDescent="0.25">
      <c r="A19" t="s">
        <v>94</v>
      </c>
      <c r="B19">
        <v>1</v>
      </c>
      <c r="C19">
        <v>8</v>
      </c>
      <c r="D19">
        <v>106</v>
      </c>
      <c r="E19">
        <v>5</v>
      </c>
      <c r="F19">
        <v>1</v>
      </c>
      <c r="G19" t="b">
        <v>0</v>
      </c>
      <c r="H19" t="b">
        <v>0</v>
      </c>
      <c r="I19" t="b">
        <v>1</v>
      </c>
    </row>
    <row r="20" spans="1:9" x14ac:dyDescent="0.25">
      <c r="A20" t="s">
        <v>37</v>
      </c>
      <c r="B20">
        <v>1</v>
      </c>
      <c r="C20">
        <v>1</v>
      </c>
      <c r="D20">
        <v>7</v>
      </c>
      <c r="E20">
        <v>1</v>
      </c>
      <c r="F20">
        <v>1</v>
      </c>
      <c r="G20" t="b">
        <v>1</v>
      </c>
      <c r="H20" t="b">
        <v>1</v>
      </c>
      <c r="I20" t="b">
        <v>1</v>
      </c>
    </row>
    <row r="21" spans="1:9" x14ac:dyDescent="0.25">
      <c r="A21" t="s">
        <v>45</v>
      </c>
      <c r="B21">
        <v>1</v>
      </c>
      <c r="C21">
        <v>1</v>
      </c>
      <c r="D21">
        <v>8</v>
      </c>
      <c r="E21">
        <v>2</v>
      </c>
      <c r="F21">
        <v>1</v>
      </c>
      <c r="G21" t="b">
        <v>1</v>
      </c>
      <c r="H21" t="b">
        <v>1</v>
      </c>
      <c r="I21" t="b">
        <v>1</v>
      </c>
    </row>
    <row r="22" spans="1:9" x14ac:dyDescent="0.25">
      <c r="A22" t="s">
        <v>38</v>
      </c>
      <c r="B22">
        <v>1</v>
      </c>
      <c r="C22">
        <v>8</v>
      </c>
      <c r="D22">
        <v>5</v>
      </c>
      <c r="E22">
        <v>11</v>
      </c>
      <c r="F22">
        <v>3</v>
      </c>
      <c r="G22" t="b">
        <v>1</v>
      </c>
      <c r="H22" t="b">
        <v>1</v>
      </c>
      <c r="I22" t="b">
        <v>1</v>
      </c>
    </row>
    <row r="23" spans="1:9" x14ac:dyDescent="0.25">
      <c r="A23" t="s">
        <v>46</v>
      </c>
      <c r="B23">
        <v>2</v>
      </c>
      <c r="C23">
        <v>2</v>
      </c>
      <c r="D23">
        <v>9</v>
      </c>
      <c r="E23">
        <v>3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38</v>
      </c>
      <c r="B24">
        <v>6</v>
      </c>
      <c r="C24">
        <v>15</v>
      </c>
      <c r="D24">
        <v>11</v>
      </c>
      <c r="E24">
        <v>13</v>
      </c>
      <c r="F24">
        <v>3</v>
      </c>
      <c r="G24" t="b">
        <v>1</v>
      </c>
      <c r="H24" t="b">
        <v>1</v>
      </c>
      <c r="I24" t="b">
        <v>1</v>
      </c>
    </row>
    <row r="25" spans="1:9" x14ac:dyDescent="0.25">
      <c r="A25" t="s">
        <v>94</v>
      </c>
      <c r="B25">
        <v>1</v>
      </c>
      <c r="C25">
        <v>8</v>
      </c>
      <c r="D25">
        <v>106</v>
      </c>
      <c r="E25">
        <v>5</v>
      </c>
      <c r="F25">
        <v>1</v>
      </c>
      <c r="G25" t="b">
        <v>0</v>
      </c>
      <c r="H25" t="b">
        <v>0</v>
      </c>
      <c r="I25" t="b">
        <v>1</v>
      </c>
    </row>
    <row r="26" spans="1:9" x14ac:dyDescent="0.25">
      <c r="A26" t="s">
        <v>37</v>
      </c>
      <c r="B26">
        <v>1</v>
      </c>
      <c r="C26">
        <v>1</v>
      </c>
      <c r="D26">
        <v>7</v>
      </c>
      <c r="E26">
        <v>1</v>
      </c>
      <c r="F26">
        <v>1</v>
      </c>
      <c r="G26" t="b">
        <v>1</v>
      </c>
      <c r="H26" t="b">
        <v>1</v>
      </c>
      <c r="I26" t="b">
        <v>1</v>
      </c>
    </row>
    <row r="27" spans="1:9" x14ac:dyDescent="0.25">
      <c r="A27" t="s">
        <v>41</v>
      </c>
      <c r="B27">
        <v>1</v>
      </c>
      <c r="C27">
        <v>3</v>
      </c>
      <c r="D27">
        <v>3</v>
      </c>
      <c r="E27">
        <v>3</v>
      </c>
      <c r="F27">
        <v>3</v>
      </c>
      <c r="G27" t="b">
        <v>1</v>
      </c>
      <c r="H27" t="b">
        <v>1</v>
      </c>
      <c r="I27" t="b">
        <v>1</v>
      </c>
    </row>
    <row r="28" spans="1:9" x14ac:dyDescent="0.25">
      <c r="A28" t="s">
        <v>41</v>
      </c>
      <c r="B28">
        <v>1</v>
      </c>
      <c r="C28">
        <v>5</v>
      </c>
      <c r="D28">
        <v>1</v>
      </c>
      <c r="E28">
        <v>6</v>
      </c>
      <c r="F28">
        <v>1</v>
      </c>
      <c r="G28" t="b">
        <v>1</v>
      </c>
      <c r="H28" t="b">
        <v>1</v>
      </c>
      <c r="I28" t="b">
        <v>1</v>
      </c>
    </row>
    <row r="29" spans="1:9" x14ac:dyDescent="0.25">
      <c r="A29" t="s">
        <v>94</v>
      </c>
      <c r="B29">
        <v>1</v>
      </c>
      <c r="C29">
        <v>8</v>
      </c>
      <c r="D29">
        <v>106</v>
      </c>
      <c r="E29">
        <v>5</v>
      </c>
      <c r="F29">
        <v>1</v>
      </c>
      <c r="G29" t="b">
        <v>0</v>
      </c>
      <c r="H29" t="b">
        <v>0</v>
      </c>
      <c r="I29" t="b">
        <v>1</v>
      </c>
    </row>
    <row r="30" spans="1:9" x14ac:dyDescent="0.25">
      <c r="A30" t="s">
        <v>37</v>
      </c>
      <c r="B30">
        <v>1</v>
      </c>
      <c r="C30">
        <v>1</v>
      </c>
      <c r="D30">
        <v>7</v>
      </c>
      <c r="E30">
        <v>1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38</v>
      </c>
      <c r="B31">
        <v>1</v>
      </c>
      <c r="C31">
        <v>19</v>
      </c>
      <c r="D31">
        <v>8</v>
      </c>
      <c r="E31">
        <v>3</v>
      </c>
      <c r="F31">
        <v>1</v>
      </c>
      <c r="G31" t="b">
        <v>0</v>
      </c>
      <c r="H31" t="b">
        <v>0</v>
      </c>
      <c r="I31" t="b">
        <v>1</v>
      </c>
    </row>
    <row r="32" spans="1:9" x14ac:dyDescent="0.25">
      <c r="A32" t="s">
        <v>41</v>
      </c>
      <c r="B32">
        <v>1</v>
      </c>
      <c r="C32">
        <v>6</v>
      </c>
      <c r="D32">
        <v>1</v>
      </c>
      <c r="E32">
        <v>6</v>
      </c>
      <c r="F32">
        <v>2</v>
      </c>
      <c r="G32" t="b">
        <v>1</v>
      </c>
      <c r="H32" t="b">
        <v>1</v>
      </c>
      <c r="I32" t="b">
        <v>1</v>
      </c>
    </row>
    <row r="33" spans="1:9" x14ac:dyDescent="0.25">
      <c r="A33" t="s">
        <v>33</v>
      </c>
      <c r="B33">
        <v>1</v>
      </c>
      <c r="C33">
        <v>11</v>
      </c>
      <c r="D33">
        <v>12</v>
      </c>
      <c r="E33">
        <v>14</v>
      </c>
      <c r="F33">
        <v>1</v>
      </c>
      <c r="G33" t="b">
        <v>0</v>
      </c>
      <c r="H33" t="b">
        <v>0</v>
      </c>
      <c r="I33" t="b">
        <v>1</v>
      </c>
    </row>
    <row r="34" spans="1:9" x14ac:dyDescent="0.25">
      <c r="A34" t="s">
        <v>31</v>
      </c>
      <c r="B34">
        <v>1</v>
      </c>
      <c r="C34">
        <v>1</v>
      </c>
      <c r="D34">
        <v>1</v>
      </c>
      <c r="E34">
        <v>4</v>
      </c>
      <c r="F34">
        <v>1</v>
      </c>
      <c r="G34" t="b">
        <v>0</v>
      </c>
      <c r="H34" t="b">
        <v>0</v>
      </c>
      <c r="I34" t="b">
        <v>1</v>
      </c>
    </row>
    <row r="35" spans="1:9" x14ac:dyDescent="0.25">
      <c r="A35" t="s">
        <v>92</v>
      </c>
      <c r="B35">
        <v>1</v>
      </c>
      <c r="C35">
        <v>31</v>
      </c>
      <c r="D35">
        <v>135</v>
      </c>
      <c r="E35">
        <v>13</v>
      </c>
      <c r="F35">
        <v>1</v>
      </c>
      <c r="G35" t="b">
        <v>0</v>
      </c>
      <c r="H35" t="b">
        <v>0</v>
      </c>
      <c r="I35" t="b">
        <v>1</v>
      </c>
    </row>
    <row r="36" spans="1:9" x14ac:dyDescent="0.25">
      <c r="A36" t="s">
        <v>40</v>
      </c>
      <c r="B36">
        <v>14</v>
      </c>
      <c r="C36">
        <v>68</v>
      </c>
      <c r="D36">
        <v>38</v>
      </c>
      <c r="E36">
        <v>22</v>
      </c>
      <c r="F36">
        <v>200021</v>
      </c>
      <c r="G36" t="b">
        <v>1</v>
      </c>
      <c r="H36" t="b">
        <v>1</v>
      </c>
      <c r="I36" t="b">
        <v>1</v>
      </c>
    </row>
    <row r="37" spans="1:9" x14ac:dyDescent="0.25">
      <c r="A37" t="s">
        <v>32</v>
      </c>
      <c r="B37">
        <v>1</v>
      </c>
      <c r="C37">
        <v>1</v>
      </c>
      <c r="D37">
        <v>1</v>
      </c>
      <c r="E37">
        <v>2</v>
      </c>
      <c r="F37">
        <v>3</v>
      </c>
      <c r="G37" t="b">
        <v>1</v>
      </c>
      <c r="H37" t="b">
        <v>1</v>
      </c>
      <c r="I37" t="b">
        <v>1</v>
      </c>
    </row>
    <row r="38" spans="1:9" x14ac:dyDescent="0.25">
      <c r="A38" t="s">
        <v>39</v>
      </c>
      <c r="B38">
        <v>2</v>
      </c>
      <c r="C38">
        <v>2</v>
      </c>
      <c r="D38">
        <v>10</v>
      </c>
      <c r="E38">
        <v>2</v>
      </c>
      <c r="F38">
        <v>1</v>
      </c>
      <c r="G38" t="b">
        <v>1</v>
      </c>
      <c r="H38" t="b">
        <v>1</v>
      </c>
      <c r="I38" t="b">
        <v>1</v>
      </c>
    </row>
    <row r="39" spans="1:9" x14ac:dyDescent="0.25">
      <c r="A39" t="s">
        <v>33</v>
      </c>
      <c r="B39">
        <v>6</v>
      </c>
      <c r="C39">
        <v>15</v>
      </c>
      <c r="D39">
        <v>16</v>
      </c>
      <c r="E39">
        <v>20</v>
      </c>
      <c r="F39">
        <v>3</v>
      </c>
      <c r="G39" t="b">
        <v>1</v>
      </c>
      <c r="H39" t="b">
        <v>1</v>
      </c>
      <c r="I39" t="b">
        <v>1</v>
      </c>
    </row>
    <row r="40" spans="1:9" x14ac:dyDescent="0.25">
      <c r="A40" t="s">
        <v>95</v>
      </c>
      <c r="B40">
        <v>1</v>
      </c>
      <c r="C40">
        <v>20</v>
      </c>
      <c r="D40">
        <v>118</v>
      </c>
      <c r="E40">
        <v>11</v>
      </c>
      <c r="F40">
        <v>1</v>
      </c>
      <c r="G40" t="b">
        <v>0</v>
      </c>
      <c r="H40" t="b">
        <v>0</v>
      </c>
      <c r="I40" t="b">
        <v>1</v>
      </c>
    </row>
    <row r="41" spans="1:9" x14ac:dyDescent="0.25">
      <c r="A41" t="s">
        <v>39</v>
      </c>
      <c r="B41">
        <v>1</v>
      </c>
      <c r="C41">
        <v>4</v>
      </c>
      <c r="D41">
        <v>44</v>
      </c>
      <c r="E41">
        <v>1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32</v>
      </c>
      <c r="B42">
        <v>2</v>
      </c>
      <c r="C42">
        <v>2</v>
      </c>
      <c r="D42">
        <v>2</v>
      </c>
      <c r="E42">
        <v>5</v>
      </c>
      <c r="F42">
        <v>1</v>
      </c>
      <c r="G42" t="b">
        <v>1</v>
      </c>
      <c r="H42" t="b">
        <v>1</v>
      </c>
      <c r="I42" t="b">
        <v>1</v>
      </c>
    </row>
    <row r="43" spans="1:9" x14ac:dyDescent="0.25">
      <c r="A43" t="s">
        <v>55</v>
      </c>
      <c r="B43">
        <v>2</v>
      </c>
      <c r="C43">
        <v>2</v>
      </c>
      <c r="D43">
        <v>2</v>
      </c>
      <c r="E43">
        <v>4</v>
      </c>
      <c r="F43">
        <v>1</v>
      </c>
      <c r="G43" t="b">
        <v>1</v>
      </c>
      <c r="H43" t="b">
        <v>1</v>
      </c>
      <c r="I43" t="b">
        <v>1</v>
      </c>
    </row>
    <row r="44" spans="1:9" x14ac:dyDescent="0.25">
      <c r="A44" t="s">
        <v>36</v>
      </c>
      <c r="B44">
        <v>6</v>
      </c>
      <c r="C44">
        <v>6</v>
      </c>
      <c r="D44">
        <v>8</v>
      </c>
      <c r="E44">
        <v>9</v>
      </c>
      <c r="F44">
        <v>2</v>
      </c>
      <c r="G44" t="b">
        <v>1</v>
      </c>
      <c r="H44" t="b">
        <v>1</v>
      </c>
      <c r="I44" t="b">
        <v>1</v>
      </c>
    </row>
    <row r="45" spans="1:9" x14ac:dyDescent="0.25">
      <c r="A45" t="s">
        <v>50</v>
      </c>
      <c r="B45">
        <v>1</v>
      </c>
      <c r="C45">
        <v>4</v>
      </c>
      <c r="D45">
        <v>1</v>
      </c>
      <c r="E45">
        <v>7</v>
      </c>
      <c r="F45">
        <v>1</v>
      </c>
      <c r="G45" t="b">
        <v>1</v>
      </c>
      <c r="H45" t="b">
        <v>1</v>
      </c>
      <c r="I45" t="b">
        <v>1</v>
      </c>
    </row>
    <row r="46" spans="1:9" x14ac:dyDescent="0.25">
      <c r="A46" t="s">
        <v>47</v>
      </c>
      <c r="B46">
        <v>4</v>
      </c>
      <c r="C46">
        <v>4</v>
      </c>
      <c r="D46">
        <v>5</v>
      </c>
      <c r="E46">
        <v>10</v>
      </c>
      <c r="F46">
        <v>2</v>
      </c>
      <c r="G46" t="b">
        <v>1</v>
      </c>
      <c r="H46" t="b">
        <v>1</v>
      </c>
      <c r="I46" t="b">
        <v>1</v>
      </c>
    </row>
    <row r="47" spans="1:9" x14ac:dyDescent="0.25">
      <c r="A47" t="s">
        <v>50</v>
      </c>
      <c r="B47">
        <v>1</v>
      </c>
      <c r="C47">
        <v>4</v>
      </c>
      <c r="D47">
        <v>1</v>
      </c>
      <c r="E47">
        <v>7</v>
      </c>
      <c r="F47">
        <v>1</v>
      </c>
      <c r="G47" t="b">
        <v>0</v>
      </c>
      <c r="H47" t="b">
        <v>0</v>
      </c>
      <c r="I47" t="b">
        <v>1</v>
      </c>
    </row>
    <row r="48" spans="1:9" x14ac:dyDescent="0.25">
      <c r="A48" t="s">
        <v>37</v>
      </c>
      <c r="B48">
        <v>1</v>
      </c>
      <c r="C48">
        <v>1</v>
      </c>
      <c r="D48">
        <v>6</v>
      </c>
      <c r="E48">
        <v>1</v>
      </c>
      <c r="F48">
        <v>1</v>
      </c>
      <c r="G48" t="b">
        <v>1</v>
      </c>
      <c r="H48" t="b">
        <v>1</v>
      </c>
      <c r="I48" t="b">
        <v>1</v>
      </c>
    </row>
    <row r="49" spans="1:9" x14ac:dyDescent="0.25">
      <c r="A49" t="s">
        <v>49</v>
      </c>
      <c r="B49">
        <v>1</v>
      </c>
      <c r="C49">
        <v>1</v>
      </c>
      <c r="D49">
        <v>13</v>
      </c>
      <c r="E49">
        <v>3</v>
      </c>
      <c r="F49">
        <v>1</v>
      </c>
      <c r="G49" t="b">
        <v>1</v>
      </c>
      <c r="H49" t="b">
        <v>1</v>
      </c>
      <c r="I49" t="b">
        <v>1</v>
      </c>
    </row>
    <row r="50" spans="1:9" x14ac:dyDescent="0.25">
      <c r="A50" t="s">
        <v>51</v>
      </c>
      <c r="B50">
        <v>2</v>
      </c>
      <c r="C50">
        <v>12</v>
      </c>
      <c r="D50">
        <v>4</v>
      </c>
      <c r="E50">
        <v>2</v>
      </c>
      <c r="F50">
        <v>1</v>
      </c>
      <c r="G50" t="b">
        <v>1</v>
      </c>
      <c r="H50" t="b">
        <v>1</v>
      </c>
      <c r="I50" t="b">
        <v>1</v>
      </c>
    </row>
    <row r="51" spans="1:9" x14ac:dyDescent="0.25">
      <c r="A51" t="s">
        <v>36</v>
      </c>
      <c r="B51">
        <v>6</v>
      </c>
      <c r="C51">
        <v>6</v>
      </c>
      <c r="D51">
        <v>8</v>
      </c>
      <c r="E51">
        <v>9</v>
      </c>
      <c r="F51">
        <v>2</v>
      </c>
      <c r="G51" t="b">
        <v>1</v>
      </c>
      <c r="H51" t="b">
        <v>1</v>
      </c>
      <c r="I51" t="b">
        <v>1</v>
      </c>
    </row>
    <row r="52" spans="1:9" x14ac:dyDescent="0.25">
      <c r="A52" t="s">
        <v>50</v>
      </c>
      <c r="B52">
        <v>1</v>
      </c>
      <c r="C52">
        <v>4</v>
      </c>
      <c r="D52">
        <v>1</v>
      </c>
      <c r="E52">
        <v>7</v>
      </c>
      <c r="F52">
        <v>1</v>
      </c>
      <c r="G52" t="b">
        <v>0</v>
      </c>
      <c r="H52" t="b">
        <v>0</v>
      </c>
      <c r="I52" t="b">
        <v>1</v>
      </c>
    </row>
    <row r="53" spans="1:9" x14ac:dyDescent="0.25">
      <c r="A53" t="s">
        <v>69</v>
      </c>
      <c r="B53">
        <v>1</v>
      </c>
      <c r="C53">
        <v>4</v>
      </c>
      <c r="D53">
        <v>30</v>
      </c>
      <c r="E53">
        <v>3</v>
      </c>
      <c r="F53">
        <v>1</v>
      </c>
      <c r="G53" t="b">
        <v>1</v>
      </c>
      <c r="H53" t="b">
        <v>1</v>
      </c>
      <c r="I53" t="b">
        <v>1</v>
      </c>
    </row>
    <row r="54" spans="1:9" x14ac:dyDescent="0.25">
      <c r="A54" t="s">
        <v>50</v>
      </c>
      <c r="B54">
        <v>1</v>
      </c>
      <c r="C54">
        <v>5</v>
      </c>
      <c r="D54">
        <v>1</v>
      </c>
      <c r="E54">
        <v>7</v>
      </c>
      <c r="F54">
        <v>1</v>
      </c>
      <c r="G54" t="b">
        <v>0</v>
      </c>
      <c r="H54" t="b">
        <v>0</v>
      </c>
      <c r="I54" t="b">
        <v>1</v>
      </c>
    </row>
    <row r="55" spans="1:9" x14ac:dyDescent="0.25">
      <c r="A55" t="s">
        <v>51</v>
      </c>
      <c r="B55">
        <v>2</v>
      </c>
      <c r="C55">
        <v>9</v>
      </c>
      <c r="D55">
        <v>7</v>
      </c>
      <c r="E55">
        <v>8</v>
      </c>
      <c r="F55">
        <v>1</v>
      </c>
      <c r="G55" t="b">
        <v>1</v>
      </c>
      <c r="H55" t="b">
        <v>1</v>
      </c>
      <c r="I55" t="b">
        <v>1</v>
      </c>
    </row>
    <row r="56" spans="1:9" x14ac:dyDescent="0.25">
      <c r="A56" t="s">
        <v>93</v>
      </c>
      <c r="B56">
        <v>1</v>
      </c>
      <c r="C56">
        <v>24</v>
      </c>
      <c r="D56">
        <v>9</v>
      </c>
      <c r="E56">
        <v>2</v>
      </c>
      <c r="F56">
        <v>1</v>
      </c>
      <c r="G56" t="b">
        <v>0</v>
      </c>
      <c r="H56" t="b">
        <v>0</v>
      </c>
      <c r="I56" t="b">
        <v>1</v>
      </c>
    </row>
    <row r="57" spans="1:9" x14ac:dyDescent="0.25">
      <c r="A57" t="s">
        <v>50</v>
      </c>
      <c r="B57">
        <v>1</v>
      </c>
      <c r="C57">
        <v>4</v>
      </c>
      <c r="D57">
        <v>1</v>
      </c>
      <c r="E57">
        <v>7</v>
      </c>
      <c r="F57">
        <v>1</v>
      </c>
      <c r="G57" t="b">
        <v>0</v>
      </c>
      <c r="H57" t="b">
        <v>0</v>
      </c>
      <c r="I57" t="b">
        <v>1</v>
      </c>
    </row>
    <row r="58" spans="1:9" x14ac:dyDescent="0.25">
      <c r="A58" t="s">
        <v>51</v>
      </c>
      <c r="B58">
        <v>2</v>
      </c>
      <c r="C58">
        <v>13</v>
      </c>
      <c r="D58">
        <v>4</v>
      </c>
      <c r="E58">
        <v>2</v>
      </c>
      <c r="F58">
        <v>2</v>
      </c>
      <c r="G58" t="b">
        <v>1</v>
      </c>
      <c r="H58" t="b">
        <v>1</v>
      </c>
      <c r="I58" t="b">
        <v>1</v>
      </c>
    </row>
    <row r="59" spans="1:9" x14ac:dyDescent="0.25">
      <c r="A59" t="s">
        <v>49</v>
      </c>
      <c r="B59">
        <v>1</v>
      </c>
      <c r="C59">
        <v>1</v>
      </c>
      <c r="D59">
        <v>13</v>
      </c>
      <c r="E59">
        <v>4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51</v>
      </c>
      <c r="B60">
        <v>2</v>
      </c>
      <c r="C60">
        <v>15</v>
      </c>
      <c r="D60">
        <v>4</v>
      </c>
      <c r="E60">
        <v>2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49</v>
      </c>
      <c r="B61">
        <v>1</v>
      </c>
      <c r="C61">
        <v>1</v>
      </c>
      <c r="D61">
        <v>13</v>
      </c>
      <c r="E61">
        <v>4</v>
      </c>
      <c r="F61">
        <v>1</v>
      </c>
      <c r="G61" t="b">
        <v>1</v>
      </c>
      <c r="H61" t="b">
        <v>1</v>
      </c>
      <c r="I61" t="b">
        <v>1</v>
      </c>
    </row>
    <row r="62" spans="1:9" x14ac:dyDescent="0.25">
      <c r="A62" t="s">
        <v>51</v>
      </c>
      <c r="B62">
        <v>2</v>
      </c>
      <c r="C62">
        <v>15</v>
      </c>
      <c r="D62">
        <v>4</v>
      </c>
      <c r="E62">
        <v>2</v>
      </c>
      <c r="F62">
        <v>1</v>
      </c>
      <c r="G62" t="b">
        <v>1</v>
      </c>
      <c r="H62" t="b">
        <v>1</v>
      </c>
      <c r="I62" t="b">
        <v>1</v>
      </c>
    </row>
    <row r="63" spans="1:9" x14ac:dyDescent="0.25">
      <c r="A63" t="s">
        <v>49</v>
      </c>
      <c r="B63">
        <v>1</v>
      </c>
      <c r="C63">
        <v>1</v>
      </c>
      <c r="D63">
        <v>13</v>
      </c>
      <c r="E63">
        <v>4</v>
      </c>
      <c r="F63">
        <v>1</v>
      </c>
      <c r="G63" t="b">
        <v>0</v>
      </c>
      <c r="H63" t="b">
        <v>0</v>
      </c>
      <c r="I63" t="b">
        <v>1</v>
      </c>
    </row>
    <row r="64" spans="1:9" x14ac:dyDescent="0.25">
      <c r="A64" t="s">
        <v>50</v>
      </c>
      <c r="B64">
        <v>1</v>
      </c>
      <c r="C64">
        <v>8</v>
      </c>
      <c r="D64">
        <v>1</v>
      </c>
      <c r="E64">
        <v>7</v>
      </c>
      <c r="F64">
        <v>1</v>
      </c>
      <c r="G64" t="b">
        <v>0</v>
      </c>
      <c r="H64" t="b">
        <v>0</v>
      </c>
      <c r="I64" t="b">
        <v>1</v>
      </c>
    </row>
    <row r="65" spans="1:9" x14ac:dyDescent="0.25">
      <c r="A65" t="s">
        <v>49</v>
      </c>
      <c r="B65">
        <v>1</v>
      </c>
      <c r="C65">
        <v>1</v>
      </c>
      <c r="D65">
        <v>13</v>
      </c>
      <c r="E65">
        <v>4</v>
      </c>
      <c r="F65">
        <v>1</v>
      </c>
      <c r="G65" t="b">
        <v>0</v>
      </c>
      <c r="H65" t="b">
        <v>0</v>
      </c>
      <c r="I65" t="b">
        <v>1</v>
      </c>
    </row>
    <row r="66" spans="1:9" x14ac:dyDescent="0.25">
      <c r="A66" t="s">
        <v>50</v>
      </c>
      <c r="B66">
        <v>1</v>
      </c>
      <c r="C66">
        <v>8</v>
      </c>
      <c r="D66">
        <v>1</v>
      </c>
      <c r="E66">
        <v>7</v>
      </c>
      <c r="F66">
        <v>1</v>
      </c>
      <c r="G66" t="b">
        <v>0</v>
      </c>
      <c r="H66" t="b">
        <v>0</v>
      </c>
      <c r="I66" t="b">
        <v>1</v>
      </c>
    </row>
    <row r="67" spans="1:9" x14ac:dyDescent="0.25">
      <c r="A67" t="s">
        <v>52</v>
      </c>
      <c r="B67">
        <v>1</v>
      </c>
      <c r="C67">
        <v>7</v>
      </c>
      <c r="D67">
        <v>27</v>
      </c>
      <c r="E67">
        <v>4</v>
      </c>
      <c r="F67">
        <v>1</v>
      </c>
      <c r="G67" t="b">
        <v>0</v>
      </c>
      <c r="H67" t="b">
        <v>0</v>
      </c>
      <c r="I67" t="b">
        <v>1</v>
      </c>
    </row>
    <row r="68" spans="1:9" x14ac:dyDescent="0.25">
      <c r="A68" t="s">
        <v>50</v>
      </c>
      <c r="B68">
        <v>1</v>
      </c>
      <c r="C68">
        <v>6</v>
      </c>
      <c r="D68">
        <v>1</v>
      </c>
      <c r="E68">
        <v>7</v>
      </c>
      <c r="F68">
        <v>1</v>
      </c>
      <c r="G68" t="b">
        <v>0</v>
      </c>
      <c r="H68" t="b">
        <v>0</v>
      </c>
      <c r="I68" t="b">
        <v>1</v>
      </c>
    </row>
    <row r="69" spans="1:9" x14ac:dyDescent="0.25">
      <c r="A69" t="s">
        <v>50</v>
      </c>
      <c r="B69">
        <v>1</v>
      </c>
      <c r="C69">
        <v>6</v>
      </c>
      <c r="D69">
        <v>1</v>
      </c>
      <c r="E69">
        <v>7</v>
      </c>
      <c r="F69">
        <v>1</v>
      </c>
      <c r="G69" t="b">
        <v>1</v>
      </c>
      <c r="H69" t="b">
        <v>1</v>
      </c>
      <c r="I69" t="b">
        <v>1</v>
      </c>
    </row>
    <row r="70" spans="1:9" x14ac:dyDescent="0.25">
      <c r="A70" t="s">
        <v>67</v>
      </c>
      <c r="B70">
        <v>4</v>
      </c>
      <c r="C70">
        <v>21</v>
      </c>
      <c r="D70">
        <v>15</v>
      </c>
      <c r="E70">
        <v>3</v>
      </c>
      <c r="F70">
        <v>7</v>
      </c>
      <c r="G70" t="b">
        <v>1</v>
      </c>
      <c r="H70" t="b">
        <v>1</v>
      </c>
      <c r="I70" t="b">
        <v>1</v>
      </c>
    </row>
    <row r="71" spans="1:9" x14ac:dyDescent="0.25">
      <c r="A71" t="s">
        <v>39</v>
      </c>
      <c r="B71">
        <v>1</v>
      </c>
      <c r="C71">
        <v>1</v>
      </c>
      <c r="D71">
        <v>10</v>
      </c>
      <c r="E71">
        <v>1</v>
      </c>
      <c r="F71">
        <v>1</v>
      </c>
      <c r="G71" t="b">
        <v>1</v>
      </c>
      <c r="H71" t="b">
        <v>1</v>
      </c>
      <c r="I71" t="b">
        <v>1</v>
      </c>
    </row>
    <row r="72" spans="1:9" x14ac:dyDescent="0.25">
      <c r="A72" t="s">
        <v>30</v>
      </c>
      <c r="B72">
        <v>1</v>
      </c>
      <c r="C72">
        <v>19</v>
      </c>
      <c r="D72">
        <v>5</v>
      </c>
      <c r="E72">
        <v>3</v>
      </c>
      <c r="F72">
        <v>3</v>
      </c>
      <c r="G72" t="b">
        <v>0</v>
      </c>
      <c r="H72" t="b">
        <v>0</v>
      </c>
      <c r="I72" t="b">
        <v>1</v>
      </c>
    </row>
    <row r="73" spans="1:9" x14ac:dyDescent="0.25">
      <c r="A73" t="s">
        <v>50</v>
      </c>
      <c r="B73">
        <v>1</v>
      </c>
      <c r="C73">
        <v>4</v>
      </c>
      <c r="D73">
        <v>1</v>
      </c>
      <c r="E73">
        <v>7</v>
      </c>
      <c r="F73">
        <v>1</v>
      </c>
      <c r="G73" t="b">
        <v>0</v>
      </c>
      <c r="H73" t="b">
        <v>0</v>
      </c>
      <c r="I73" t="b">
        <v>1</v>
      </c>
    </row>
    <row r="74" spans="1:9" x14ac:dyDescent="0.25">
      <c r="A74" t="s">
        <v>56</v>
      </c>
      <c r="B74">
        <v>3</v>
      </c>
      <c r="C74">
        <v>19</v>
      </c>
      <c r="D74">
        <v>7</v>
      </c>
      <c r="E74">
        <v>4</v>
      </c>
      <c r="F74">
        <v>7</v>
      </c>
      <c r="G74" t="b">
        <v>1</v>
      </c>
      <c r="H74" t="b">
        <v>1</v>
      </c>
      <c r="I74" t="b">
        <v>1</v>
      </c>
    </row>
    <row r="75" spans="1:9" x14ac:dyDescent="0.25">
      <c r="A75" t="s">
        <v>65</v>
      </c>
      <c r="B75">
        <v>2</v>
      </c>
      <c r="C75">
        <v>2</v>
      </c>
      <c r="D75">
        <v>10</v>
      </c>
      <c r="E75">
        <v>2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61</v>
      </c>
      <c r="B76">
        <v>1</v>
      </c>
      <c r="C76">
        <v>1</v>
      </c>
      <c r="D76">
        <v>9</v>
      </c>
      <c r="E76">
        <v>1</v>
      </c>
      <c r="F76">
        <v>1</v>
      </c>
      <c r="G76" t="b">
        <v>1</v>
      </c>
      <c r="H76" t="b">
        <v>1</v>
      </c>
      <c r="I76" t="b">
        <v>1</v>
      </c>
    </row>
    <row r="77" spans="1:9" x14ac:dyDescent="0.25">
      <c r="A77" t="s">
        <v>48</v>
      </c>
      <c r="B77">
        <v>1</v>
      </c>
      <c r="C77">
        <v>12</v>
      </c>
      <c r="D77">
        <v>1</v>
      </c>
      <c r="E77">
        <v>1</v>
      </c>
      <c r="F77">
        <v>1</v>
      </c>
      <c r="G77" t="b">
        <v>1</v>
      </c>
      <c r="H77" t="b">
        <v>1</v>
      </c>
      <c r="I77" t="b">
        <v>1</v>
      </c>
    </row>
    <row r="78" spans="1:9" x14ac:dyDescent="0.25">
      <c r="A78" t="s">
        <v>47</v>
      </c>
      <c r="B78">
        <v>1</v>
      </c>
      <c r="C78">
        <v>39</v>
      </c>
      <c r="D78">
        <v>8</v>
      </c>
      <c r="E78">
        <v>4</v>
      </c>
      <c r="F78">
        <v>2</v>
      </c>
      <c r="G78" t="b">
        <v>0</v>
      </c>
      <c r="H78" t="b">
        <v>0</v>
      </c>
      <c r="I78" t="b">
        <v>1</v>
      </c>
    </row>
    <row r="79" spans="1:9" x14ac:dyDescent="0.25">
      <c r="A79" t="s">
        <v>54</v>
      </c>
      <c r="B79">
        <v>9</v>
      </c>
      <c r="C79">
        <v>1</v>
      </c>
      <c r="D79">
        <v>2</v>
      </c>
      <c r="E79">
        <v>16</v>
      </c>
      <c r="F79">
        <v>200021</v>
      </c>
      <c r="G79" t="b">
        <v>1</v>
      </c>
      <c r="H79" t="b">
        <v>1</v>
      </c>
      <c r="I79" t="b">
        <v>1</v>
      </c>
    </row>
    <row r="80" spans="1:9" x14ac:dyDescent="0.25">
      <c r="A80" t="s">
        <v>55</v>
      </c>
      <c r="B80">
        <v>1</v>
      </c>
      <c r="C80">
        <v>1</v>
      </c>
      <c r="D80">
        <v>1</v>
      </c>
      <c r="E80">
        <v>2</v>
      </c>
      <c r="F80">
        <v>3</v>
      </c>
      <c r="G80" t="b">
        <v>1</v>
      </c>
      <c r="H80" t="b">
        <v>1</v>
      </c>
      <c r="I80" t="b">
        <v>1</v>
      </c>
    </row>
    <row r="81" spans="1:9" x14ac:dyDescent="0.25">
      <c r="A81" t="s">
        <v>97</v>
      </c>
      <c r="B81">
        <v>1</v>
      </c>
      <c r="C81">
        <v>1</v>
      </c>
      <c r="D81">
        <v>16</v>
      </c>
      <c r="E81">
        <v>14</v>
      </c>
      <c r="F81">
        <v>1</v>
      </c>
      <c r="G81" t="b">
        <v>0</v>
      </c>
      <c r="H81" t="b">
        <v>0</v>
      </c>
      <c r="I81" t="b">
        <v>1</v>
      </c>
    </row>
    <row r="82" spans="1:9" x14ac:dyDescent="0.25">
      <c r="A82" t="s">
        <v>37</v>
      </c>
      <c r="B82">
        <v>1</v>
      </c>
      <c r="C82">
        <v>1</v>
      </c>
      <c r="D82">
        <v>6</v>
      </c>
      <c r="E82">
        <v>1</v>
      </c>
      <c r="F82">
        <v>1</v>
      </c>
      <c r="G82" t="b">
        <v>1</v>
      </c>
      <c r="H82" t="b">
        <v>1</v>
      </c>
      <c r="I82" t="b">
        <v>1</v>
      </c>
    </row>
    <row r="83" spans="1:9" x14ac:dyDescent="0.25">
      <c r="A83" t="s">
        <v>65</v>
      </c>
      <c r="B83">
        <v>2</v>
      </c>
      <c r="C83">
        <v>2</v>
      </c>
      <c r="D83">
        <v>10</v>
      </c>
      <c r="E83">
        <v>2</v>
      </c>
      <c r="F83">
        <v>1</v>
      </c>
      <c r="G83" t="b">
        <v>1</v>
      </c>
      <c r="H83" t="b">
        <v>1</v>
      </c>
      <c r="I83" t="b">
        <v>1</v>
      </c>
    </row>
    <row r="84" spans="1:9" x14ac:dyDescent="0.25">
      <c r="A84" t="s">
        <v>61</v>
      </c>
      <c r="B84">
        <v>1</v>
      </c>
      <c r="C84">
        <v>1</v>
      </c>
      <c r="D84">
        <v>9</v>
      </c>
      <c r="E84">
        <v>1</v>
      </c>
      <c r="F84">
        <v>1</v>
      </c>
      <c r="G84" t="b">
        <v>1</v>
      </c>
      <c r="H84" t="b">
        <v>1</v>
      </c>
      <c r="I84" t="b">
        <v>1</v>
      </c>
    </row>
    <row r="85" spans="1:9" x14ac:dyDescent="0.25">
      <c r="A85" t="s">
        <v>48</v>
      </c>
      <c r="B85">
        <v>1</v>
      </c>
      <c r="C85">
        <v>12</v>
      </c>
      <c r="D85">
        <v>1</v>
      </c>
      <c r="E85">
        <v>1</v>
      </c>
      <c r="F85">
        <v>1</v>
      </c>
      <c r="G85" t="b">
        <v>1</v>
      </c>
      <c r="H85" t="b">
        <v>1</v>
      </c>
      <c r="I85" t="b">
        <v>1</v>
      </c>
    </row>
    <row r="86" spans="1:9" x14ac:dyDescent="0.25">
      <c r="A86" t="s">
        <v>48</v>
      </c>
      <c r="B86">
        <v>1</v>
      </c>
      <c r="C86">
        <v>11</v>
      </c>
      <c r="D86">
        <v>1</v>
      </c>
      <c r="E86">
        <v>1</v>
      </c>
      <c r="F86">
        <v>1</v>
      </c>
      <c r="G86" t="b">
        <v>1</v>
      </c>
      <c r="H86" t="b">
        <v>1</v>
      </c>
      <c r="I86" t="b">
        <v>1</v>
      </c>
    </row>
    <row r="87" spans="1:9" x14ac:dyDescent="0.25">
      <c r="A87" t="s">
        <v>50</v>
      </c>
      <c r="B87">
        <v>1</v>
      </c>
      <c r="C87">
        <v>6</v>
      </c>
      <c r="D87">
        <v>1</v>
      </c>
      <c r="E87">
        <v>7</v>
      </c>
      <c r="F87">
        <v>1</v>
      </c>
      <c r="G87" t="b">
        <v>0</v>
      </c>
      <c r="H87" t="b">
        <v>0</v>
      </c>
      <c r="I87" t="b">
        <v>1</v>
      </c>
    </row>
    <row r="88" spans="1:9" x14ac:dyDescent="0.25">
      <c r="A88" t="s">
        <v>93</v>
      </c>
      <c r="B88">
        <v>1</v>
      </c>
      <c r="C88">
        <v>39</v>
      </c>
      <c r="D88">
        <v>9</v>
      </c>
      <c r="E88">
        <v>2</v>
      </c>
      <c r="F88">
        <v>1</v>
      </c>
      <c r="G88" t="b">
        <v>0</v>
      </c>
      <c r="H88" t="b">
        <v>0</v>
      </c>
      <c r="I88" t="b">
        <v>1</v>
      </c>
    </row>
    <row r="89" spans="1:9" x14ac:dyDescent="0.25">
      <c r="A89" t="s">
        <v>51</v>
      </c>
      <c r="B89">
        <v>2</v>
      </c>
      <c r="C89">
        <v>13</v>
      </c>
      <c r="D89">
        <v>4</v>
      </c>
      <c r="E89">
        <v>2</v>
      </c>
      <c r="F89">
        <v>1</v>
      </c>
      <c r="G89" t="b">
        <v>1</v>
      </c>
      <c r="H89" t="b">
        <v>1</v>
      </c>
      <c r="I89" t="b">
        <v>1</v>
      </c>
    </row>
    <row r="90" spans="1:9" x14ac:dyDescent="0.25">
      <c r="A90" t="s">
        <v>51</v>
      </c>
      <c r="B90">
        <v>2</v>
      </c>
      <c r="C90">
        <v>9</v>
      </c>
      <c r="D90">
        <v>7</v>
      </c>
      <c r="E90">
        <v>8</v>
      </c>
      <c r="F90">
        <v>1</v>
      </c>
      <c r="G90" t="b">
        <v>1</v>
      </c>
      <c r="H90" t="b">
        <v>1</v>
      </c>
      <c r="I90" t="b">
        <v>1</v>
      </c>
    </row>
    <row r="91" spans="1:9" x14ac:dyDescent="0.25">
      <c r="A91" t="s">
        <v>58</v>
      </c>
      <c r="B91">
        <v>1</v>
      </c>
      <c r="C91">
        <v>1</v>
      </c>
      <c r="D91">
        <v>11</v>
      </c>
      <c r="E91">
        <v>4</v>
      </c>
      <c r="F91">
        <v>1</v>
      </c>
      <c r="G91" t="b">
        <v>1</v>
      </c>
      <c r="H91" t="b">
        <v>1</v>
      </c>
      <c r="I91" t="b">
        <v>1</v>
      </c>
    </row>
    <row r="92" spans="1:9" x14ac:dyDescent="0.25">
      <c r="A92" t="s">
        <v>53</v>
      </c>
      <c r="B92">
        <v>2</v>
      </c>
      <c r="C92">
        <v>9</v>
      </c>
      <c r="D92">
        <v>55</v>
      </c>
      <c r="E92">
        <v>15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39</v>
      </c>
      <c r="B93">
        <v>1</v>
      </c>
      <c r="C93">
        <v>1</v>
      </c>
      <c r="D93">
        <v>10</v>
      </c>
      <c r="E93">
        <v>1</v>
      </c>
      <c r="F93">
        <v>1</v>
      </c>
      <c r="G93" t="b">
        <v>1</v>
      </c>
      <c r="H93" t="b">
        <v>1</v>
      </c>
      <c r="I93" t="b">
        <v>1</v>
      </c>
    </row>
    <row r="94" spans="1:9" x14ac:dyDescent="0.25">
      <c r="A94" t="s">
        <v>30</v>
      </c>
      <c r="B94">
        <v>3</v>
      </c>
      <c r="C94">
        <v>3</v>
      </c>
      <c r="D94">
        <v>4</v>
      </c>
      <c r="E94">
        <v>6</v>
      </c>
      <c r="F94">
        <v>2</v>
      </c>
      <c r="G94" t="b">
        <v>1</v>
      </c>
      <c r="H94" t="b">
        <v>1</v>
      </c>
      <c r="I94" t="b">
        <v>1</v>
      </c>
    </row>
    <row r="95" spans="1:9" x14ac:dyDescent="0.25">
      <c r="A95" t="s">
        <v>48</v>
      </c>
      <c r="B95">
        <v>1</v>
      </c>
      <c r="C95">
        <v>14</v>
      </c>
      <c r="D95">
        <v>1</v>
      </c>
      <c r="E95">
        <v>1</v>
      </c>
      <c r="F95">
        <v>1</v>
      </c>
      <c r="G95" t="b">
        <v>1</v>
      </c>
      <c r="H95" t="b">
        <v>1</v>
      </c>
      <c r="I95" t="b">
        <v>1</v>
      </c>
    </row>
    <row r="96" spans="1:9" x14ac:dyDescent="0.25">
      <c r="A96" t="s">
        <v>48</v>
      </c>
      <c r="B96">
        <v>1</v>
      </c>
      <c r="C96">
        <v>14</v>
      </c>
      <c r="D96">
        <v>1</v>
      </c>
      <c r="E96">
        <v>1</v>
      </c>
      <c r="F96">
        <v>1</v>
      </c>
      <c r="G96" t="b">
        <v>1</v>
      </c>
      <c r="H96" t="b">
        <v>1</v>
      </c>
      <c r="I96" t="b">
        <v>1</v>
      </c>
    </row>
    <row r="97" spans="1:9" x14ac:dyDescent="0.25">
      <c r="A97" t="s">
        <v>48</v>
      </c>
      <c r="B97">
        <v>1</v>
      </c>
      <c r="C97">
        <v>14</v>
      </c>
      <c r="D97">
        <v>1</v>
      </c>
      <c r="E97">
        <v>1</v>
      </c>
      <c r="F97">
        <v>1</v>
      </c>
      <c r="G97" t="b">
        <v>1</v>
      </c>
      <c r="H97" t="b">
        <v>1</v>
      </c>
      <c r="I97" t="b">
        <v>1</v>
      </c>
    </row>
    <row r="98" spans="1:9" x14ac:dyDescent="0.25">
      <c r="A98" t="s">
        <v>51</v>
      </c>
      <c r="B98">
        <v>2</v>
      </c>
      <c r="C98">
        <v>11</v>
      </c>
      <c r="D98">
        <v>4</v>
      </c>
      <c r="E98">
        <v>12</v>
      </c>
      <c r="F98">
        <v>1</v>
      </c>
      <c r="G98" t="b">
        <v>1</v>
      </c>
      <c r="H98" t="b">
        <v>1</v>
      </c>
      <c r="I98" t="b">
        <v>1</v>
      </c>
    </row>
    <row r="99" spans="1:9" x14ac:dyDescent="0.25">
      <c r="A99" t="s">
        <v>39</v>
      </c>
      <c r="B99">
        <v>1</v>
      </c>
      <c r="C99">
        <v>1</v>
      </c>
      <c r="D99">
        <v>3</v>
      </c>
      <c r="E99">
        <v>4</v>
      </c>
      <c r="F99">
        <v>1</v>
      </c>
      <c r="G99" t="b">
        <v>1</v>
      </c>
      <c r="H99" t="b">
        <v>1</v>
      </c>
      <c r="I99" t="b">
        <v>1</v>
      </c>
    </row>
    <row r="100" spans="1:9" x14ac:dyDescent="0.25">
      <c r="A100" t="s">
        <v>48</v>
      </c>
      <c r="B100">
        <v>1</v>
      </c>
      <c r="C100">
        <v>14</v>
      </c>
      <c r="D100">
        <v>1</v>
      </c>
      <c r="E100">
        <v>1</v>
      </c>
      <c r="F100">
        <v>1</v>
      </c>
      <c r="G100" t="b">
        <v>1</v>
      </c>
      <c r="H100" t="b">
        <v>1</v>
      </c>
      <c r="I1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accuracy details</vt:lpstr>
      <vt:lpstr>performance</vt:lpstr>
      <vt:lpstr>llm - syn -len-alpha</vt:lpstr>
      <vt:lpstr>llm first - length - alpha</vt:lpstr>
      <vt:lpstr>formula - syn - len alpha</vt:lpstr>
      <vt:lpstr>formula - first - len - alpha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Sullivan, Allison</dc:creator>
  <cp:keywords/>
  <dc:description/>
  <cp:lastModifiedBy>Sullivan, Allison</cp:lastModifiedBy>
  <cp:revision/>
  <dcterms:created xsi:type="dcterms:W3CDTF">2025-08-26T19:38:32Z</dcterms:created>
  <dcterms:modified xsi:type="dcterms:W3CDTF">2026-02-19T16:48:30Z</dcterms:modified>
  <cp:category/>
  <cp:contentStatus/>
</cp:coreProperties>
</file>