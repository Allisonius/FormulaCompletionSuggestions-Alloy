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llis\OneDrive\Desktop\CompletionSuggestionRankings\Rankings\results\"/>
    </mc:Choice>
  </mc:AlternateContent>
  <xr:revisionPtr revIDLastSave="0" documentId="8_{865CC682-4373-4FB9-9944-9BC014EDECE7}" xr6:coauthVersionLast="47" xr6:coauthVersionMax="47" xr10:uidLastSave="{00000000-0000-0000-0000-000000000000}"/>
  <bookViews>
    <workbookView xWindow="-110" yWindow="-110" windowWidth="38620" windowHeight="21100" xr2:uid="{C464C8E2-BA16-4143-86DF-5FCF38022D0F}"/>
  </bookViews>
  <sheets>
    <sheet name="overall" sheetId="4" r:id="rId1"/>
    <sheet name="accuracy details" sheetId="14" r:id="rId2"/>
    <sheet name="formula - syn -len-alpha" sheetId="13" r:id="rId3"/>
    <sheet name="formula first - length - alpha" sheetId="12" r:id="rId4"/>
    <sheet name="gen - syn - len alpha" sheetId="2" r:id="rId5"/>
    <sheet name="gen - first - len - alpha" sheetId="11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7" i="14" l="1"/>
  <c r="H57" i="14"/>
  <c r="I57" i="14"/>
  <c r="J57" i="14"/>
  <c r="G58" i="14"/>
  <c r="H58" i="14"/>
  <c r="I58" i="14"/>
  <c r="J58" i="14"/>
  <c r="G59" i="14"/>
  <c r="H59" i="14"/>
  <c r="I59" i="14"/>
  <c r="J59" i="14"/>
  <c r="G60" i="14"/>
  <c r="H60" i="14"/>
  <c r="I60" i="14"/>
  <c r="J60" i="14"/>
  <c r="G61" i="14"/>
  <c r="H61" i="14"/>
  <c r="I61" i="14"/>
  <c r="J61" i="14"/>
  <c r="G62" i="14"/>
  <c r="H62" i="14"/>
  <c r="I62" i="14"/>
  <c r="J62" i="14"/>
  <c r="G63" i="14"/>
  <c r="H63" i="14"/>
  <c r="I63" i="14"/>
  <c r="J63" i="14"/>
  <c r="G36" i="14"/>
  <c r="H36" i="14"/>
  <c r="I36" i="14"/>
  <c r="J36" i="14"/>
  <c r="G37" i="14"/>
  <c r="H37" i="14"/>
  <c r="I37" i="14"/>
  <c r="J37" i="14"/>
  <c r="G38" i="14"/>
  <c r="H38" i="14"/>
  <c r="I38" i="14"/>
  <c r="J38" i="14"/>
  <c r="G39" i="14"/>
  <c r="H39" i="14"/>
  <c r="I39" i="14"/>
  <c r="J39" i="14"/>
  <c r="G40" i="14"/>
  <c r="H40" i="14"/>
  <c r="I40" i="14"/>
  <c r="J40" i="14"/>
  <c r="G41" i="14"/>
  <c r="H41" i="14"/>
  <c r="I41" i="14"/>
  <c r="J41" i="14"/>
  <c r="G42" i="14"/>
  <c r="H42" i="14"/>
  <c r="I42" i="14"/>
  <c r="J42" i="14"/>
  <c r="G43" i="14"/>
  <c r="H43" i="14"/>
  <c r="I43" i="14"/>
  <c r="J43" i="14"/>
  <c r="G44" i="14"/>
  <c r="H44" i="14"/>
  <c r="I44" i="14"/>
  <c r="J44" i="14"/>
  <c r="G45" i="14"/>
  <c r="H45" i="14"/>
  <c r="I45" i="14"/>
  <c r="J45" i="14"/>
  <c r="G46" i="14"/>
  <c r="H46" i="14"/>
  <c r="I46" i="14"/>
  <c r="J46" i="14"/>
  <c r="G47" i="14"/>
  <c r="H47" i="14"/>
  <c r="I47" i="14"/>
  <c r="J47" i="14"/>
  <c r="G48" i="14"/>
  <c r="H48" i="14"/>
  <c r="I48" i="14"/>
  <c r="J48" i="14"/>
  <c r="G49" i="14"/>
  <c r="H49" i="14"/>
  <c r="I49" i="14"/>
  <c r="J49" i="14"/>
  <c r="G50" i="14"/>
  <c r="H50" i="14"/>
  <c r="I50" i="14"/>
  <c r="J50" i="14"/>
  <c r="G51" i="14"/>
  <c r="H51" i="14"/>
  <c r="I51" i="14"/>
  <c r="J51" i="14"/>
  <c r="G52" i="14"/>
  <c r="H52" i="14"/>
  <c r="I52" i="14"/>
  <c r="J52" i="14"/>
  <c r="G53" i="14"/>
  <c r="H53" i="14"/>
  <c r="I53" i="14"/>
  <c r="J53" i="14"/>
  <c r="G54" i="14"/>
  <c r="H54" i="14"/>
  <c r="I54" i="14"/>
  <c r="J54" i="14"/>
  <c r="G55" i="14"/>
  <c r="H55" i="14"/>
  <c r="I55" i="14"/>
  <c r="J55" i="14"/>
  <c r="G56" i="14"/>
  <c r="H56" i="14"/>
  <c r="I56" i="14"/>
  <c r="J56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U19" i="14"/>
  <c r="U20" i="14"/>
  <c r="U21" i="14"/>
  <c r="U22" i="14"/>
  <c r="U23" i="14"/>
  <c r="U24" i="14"/>
  <c r="U25" i="14"/>
  <c r="U26" i="14"/>
  <c r="U27" i="14"/>
  <c r="U28" i="14"/>
  <c r="U29" i="14"/>
  <c r="U30" i="14"/>
  <c r="U2" i="14"/>
  <c r="J35" i="14" s="1"/>
  <c r="I35" i="14"/>
  <c r="R30" i="14"/>
  <c r="S30" i="14"/>
  <c r="T30" i="14"/>
  <c r="H35" i="14"/>
  <c r="G35" i="14"/>
  <c r="C35" i="14"/>
  <c r="D35" i="14"/>
  <c r="E35" i="14"/>
  <c r="J3" i="14"/>
  <c r="F36" i="14" s="1"/>
  <c r="J4" i="14"/>
  <c r="F37" i="14" s="1"/>
  <c r="J5" i="14"/>
  <c r="F38" i="14" s="1"/>
  <c r="J6" i="14"/>
  <c r="F39" i="14" s="1"/>
  <c r="J7" i="14"/>
  <c r="F40" i="14" s="1"/>
  <c r="J8" i="14"/>
  <c r="F41" i="14" s="1"/>
  <c r="J9" i="14"/>
  <c r="F42" i="14" s="1"/>
  <c r="J10" i="14"/>
  <c r="F43" i="14" s="1"/>
  <c r="J11" i="14"/>
  <c r="F44" i="14" s="1"/>
  <c r="J12" i="14"/>
  <c r="F45" i="14" s="1"/>
  <c r="J13" i="14"/>
  <c r="F46" i="14" s="1"/>
  <c r="J14" i="14"/>
  <c r="F47" i="14" s="1"/>
  <c r="J15" i="14"/>
  <c r="F48" i="14" s="1"/>
  <c r="J16" i="14"/>
  <c r="F49" i="14" s="1"/>
  <c r="J17" i="14"/>
  <c r="F50" i="14" s="1"/>
  <c r="J18" i="14"/>
  <c r="F51" i="14" s="1"/>
  <c r="J19" i="14"/>
  <c r="F52" i="14" s="1"/>
  <c r="J20" i="14"/>
  <c r="F53" i="14" s="1"/>
  <c r="J21" i="14"/>
  <c r="F54" i="14" s="1"/>
  <c r="J22" i="14"/>
  <c r="F55" i="14" s="1"/>
  <c r="J23" i="14"/>
  <c r="F56" i="14" s="1"/>
  <c r="J24" i="14"/>
  <c r="F57" i="14" s="1"/>
  <c r="J25" i="14"/>
  <c r="F58" i="14" s="1"/>
  <c r="J26" i="14"/>
  <c r="F59" i="14" s="1"/>
  <c r="J27" i="14"/>
  <c r="F60" i="14" s="1"/>
  <c r="J28" i="14"/>
  <c r="F61" i="14" s="1"/>
  <c r="J29" i="14"/>
  <c r="F62" i="14" s="1"/>
  <c r="J2" i="14"/>
  <c r="F35" i="14" s="1"/>
  <c r="H30" i="14"/>
  <c r="I30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B63" i="14"/>
  <c r="E30" i="14"/>
  <c r="P30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Q30" i="14"/>
  <c r="O30" i="14"/>
  <c r="N30" i="14"/>
  <c r="M30" i="14"/>
  <c r="D30" i="14"/>
  <c r="F30" i="14"/>
  <c r="G30" i="14"/>
  <c r="C30" i="14"/>
  <c r="B30" i="14"/>
  <c r="J30" i="14" l="1"/>
  <c r="F63" i="14" s="1"/>
  <c r="D63" i="14"/>
  <c r="E63" i="14"/>
  <c r="C66" i="14" s="1"/>
  <c r="C63" i="14"/>
  <c r="T2" i="13" l="1"/>
  <c r="A6" i="4" s="1"/>
  <c r="Q2" i="13"/>
  <c r="D6" i="4" s="1"/>
  <c r="N2" i="13"/>
  <c r="G6" i="4" s="1"/>
  <c r="K2" i="13"/>
  <c r="J6" i="4" s="1"/>
  <c r="V2" i="13"/>
  <c r="C6" i="4" s="1"/>
  <c r="U2" i="13"/>
  <c r="B6" i="4" s="1"/>
  <c r="S2" i="13"/>
  <c r="F6" i="4" s="1"/>
  <c r="R2" i="13"/>
  <c r="E6" i="4" s="1"/>
  <c r="P2" i="13"/>
  <c r="I6" i="4" s="1"/>
  <c r="O2" i="13"/>
  <c r="H6" i="4" s="1"/>
  <c r="M2" i="13"/>
  <c r="L6" i="4" s="1"/>
  <c r="L2" i="13"/>
  <c r="K6" i="4" s="1"/>
  <c r="V2" i="12"/>
  <c r="C11" i="4" s="1"/>
  <c r="H32" i="4" s="1"/>
  <c r="U2" i="12"/>
  <c r="B11" i="4" s="1"/>
  <c r="G32" i="4" s="1"/>
  <c r="T2" i="12"/>
  <c r="A11" i="4" s="1"/>
  <c r="F32" i="4" s="1"/>
  <c r="S2" i="12"/>
  <c r="F11" i="4" s="1"/>
  <c r="H31" i="4" s="1"/>
  <c r="R2" i="12"/>
  <c r="E11" i="4" s="1"/>
  <c r="G31" i="4" s="1"/>
  <c r="M31" i="4" s="1"/>
  <c r="Q2" i="12"/>
  <c r="D11" i="4" s="1"/>
  <c r="F31" i="4" s="1"/>
  <c r="L31" i="4" s="1"/>
  <c r="P2" i="12"/>
  <c r="I11" i="4" s="1"/>
  <c r="O2" i="12"/>
  <c r="H11" i="4" s="1"/>
  <c r="N2" i="12"/>
  <c r="G11" i="4" s="1"/>
  <c r="M2" i="12"/>
  <c r="L11" i="4" s="1"/>
  <c r="H33" i="4" s="1"/>
  <c r="L2" i="12"/>
  <c r="K11" i="4" s="1"/>
  <c r="G33" i="4" s="1"/>
  <c r="K2" i="12"/>
  <c r="J11" i="4" s="1"/>
  <c r="F33" i="4" s="1"/>
  <c r="V2" i="11"/>
  <c r="C22" i="4" s="1"/>
  <c r="E32" i="4" s="1"/>
  <c r="K32" i="4" s="1"/>
  <c r="U2" i="11"/>
  <c r="B22" i="4" s="1"/>
  <c r="D32" i="4" s="1"/>
  <c r="J32" i="4" s="1"/>
  <c r="T2" i="11"/>
  <c r="A22" i="4" s="1"/>
  <c r="C32" i="4" s="1"/>
  <c r="I32" i="4" s="1"/>
  <c r="S2" i="11"/>
  <c r="F22" i="4" s="1"/>
  <c r="E31" i="4" s="1"/>
  <c r="R2" i="11"/>
  <c r="E22" i="4" s="1"/>
  <c r="D31" i="4" s="1"/>
  <c r="J31" i="4" s="1"/>
  <c r="Q2" i="11"/>
  <c r="D22" i="4" s="1"/>
  <c r="C31" i="4" s="1"/>
  <c r="I31" i="4" s="1"/>
  <c r="P2" i="11"/>
  <c r="I22" i="4" s="1"/>
  <c r="O2" i="11"/>
  <c r="H22" i="4" s="1"/>
  <c r="N2" i="11"/>
  <c r="G22" i="4" s="1"/>
  <c r="M2" i="11"/>
  <c r="L22" i="4" s="1"/>
  <c r="E33" i="4" s="1"/>
  <c r="L2" i="11"/>
  <c r="K22" i="4" s="1"/>
  <c r="D33" i="4" s="1"/>
  <c r="K2" i="11"/>
  <c r="J22" i="4" s="1"/>
  <c r="C33" i="4" s="1"/>
  <c r="V2" i="2"/>
  <c r="C17" i="4" s="1"/>
  <c r="E29" i="4" s="1"/>
  <c r="K29" i="4" s="1"/>
  <c r="U2" i="2"/>
  <c r="B17" i="4" s="1"/>
  <c r="D29" i="4" s="1"/>
  <c r="J29" i="4" s="1"/>
  <c r="T2" i="2"/>
  <c r="A17" i="4" s="1"/>
  <c r="S2" i="2"/>
  <c r="F17" i="4" s="1"/>
  <c r="R2" i="2"/>
  <c r="E17" i="4" s="1"/>
  <c r="Q2" i="2"/>
  <c r="D17" i="4" s="1"/>
  <c r="P2" i="2"/>
  <c r="I17" i="4" s="1"/>
  <c r="O2" i="2"/>
  <c r="H17" i="4" s="1"/>
  <c r="N2" i="2"/>
  <c r="G17" i="4" s="1"/>
  <c r="M2" i="2"/>
  <c r="L17" i="4" s="1"/>
  <c r="L2" i="2"/>
  <c r="K17" i="4" s="1"/>
  <c r="D30" i="4" s="1"/>
  <c r="K2" i="2"/>
  <c r="J17" i="4" s="1"/>
  <c r="C43" i="4" l="1"/>
  <c r="J33" i="4"/>
  <c r="D43" i="4"/>
  <c r="E41" i="4"/>
  <c r="E43" i="4"/>
  <c r="D42" i="4"/>
  <c r="F43" i="4"/>
  <c r="F41" i="4"/>
  <c r="G41" i="4"/>
  <c r="G43" i="4"/>
  <c r="H41" i="4"/>
  <c r="H43" i="4"/>
  <c r="F28" i="4"/>
  <c r="L28" i="4" s="1"/>
  <c r="K31" i="4"/>
  <c r="E52" i="4"/>
  <c r="E54" i="4"/>
  <c r="N32" i="4"/>
  <c r="E53" i="4"/>
  <c r="L32" i="4"/>
  <c r="C53" i="4"/>
  <c r="N31" i="4"/>
  <c r="C54" i="4"/>
  <c r="M32" i="4"/>
  <c r="D53" i="4"/>
  <c r="D54" i="4"/>
  <c r="H30" i="4"/>
  <c r="H29" i="4"/>
  <c r="G28" i="4"/>
  <c r="M28" i="4" s="1"/>
  <c r="G29" i="4"/>
  <c r="G30" i="4"/>
  <c r="H28" i="4"/>
  <c r="L33" i="4"/>
  <c r="N33" i="4"/>
  <c r="M33" i="4"/>
  <c r="D28" i="4"/>
  <c r="J28" i="4" s="1"/>
  <c r="C28" i="4"/>
  <c r="I28" i="4" s="1"/>
  <c r="C30" i="4"/>
  <c r="J30" i="4"/>
  <c r="E28" i="4"/>
  <c r="C29" i="4"/>
  <c r="I29" i="4" s="1"/>
  <c r="I33" i="4"/>
  <c r="K33" i="4"/>
  <c r="F29" i="4"/>
  <c r="E30" i="4"/>
  <c r="F30" i="4"/>
  <c r="E40" i="4" l="1"/>
  <c r="E42" i="4"/>
  <c r="C42" i="4"/>
  <c r="H40" i="4"/>
  <c r="H42" i="4"/>
  <c r="D51" i="4"/>
  <c r="G40" i="4"/>
  <c r="G42" i="4"/>
  <c r="C51" i="4"/>
  <c r="F42" i="4"/>
  <c r="F40" i="4"/>
  <c r="K28" i="4"/>
  <c r="E49" i="4"/>
  <c r="N28" i="4"/>
  <c r="E51" i="4"/>
  <c r="L29" i="4"/>
  <c r="C50" i="4"/>
  <c r="M29" i="4"/>
  <c r="D50" i="4"/>
  <c r="N29" i="4"/>
  <c r="E50" i="4"/>
  <c r="M30" i="4"/>
  <c r="N30" i="4"/>
  <c r="L30" i="4"/>
  <c r="K30" i="4"/>
  <c r="I30" i="4"/>
</calcChain>
</file>

<file path=xl/sharedStrings.xml><?xml version="1.0" encoding="utf-8"?>
<sst xmlns="http://schemas.openxmlformats.org/spreadsheetml/2006/main" count="2377" uniqueCount="326">
  <si>
    <t>Total Locations</t>
  </si>
  <si>
    <t>Completion Suggestions</t>
  </si>
  <si>
    <t>Syntatically</t>
  </si>
  <si>
    <t>Top 1</t>
  </si>
  <si>
    <t>Top 5</t>
  </si>
  <si>
    <t>Top 10</t>
  </si>
  <si>
    <t>Length</t>
  </si>
  <si>
    <t>Alpha</t>
  </si>
  <si>
    <t>Old Structure</t>
  </si>
  <si>
    <t>Template Ranked</t>
  </si>
  <si>
    <t>First Correct Encounter</t>
  </si>
  <si>
    <t>Baseline Generator</t>
  </si>
  <si>
    <t xml:space="preserve"> Correctness</t>
  </si>
  <si>
    <t>Strat</t>
  </si>
  <si>
    <t># Locations</t>
  </si>
  <si>
    <t>% Locations</t>
  </si>
  <si>
    <t>Generator</t>
  </si>
  <si>
    <t>Syntatic</t>
  </si>
  <si>
    <t>Templates</t>
  </si>
  <si>
    <t>Semantic</t>
  </si>
  <si>
    <t>Template Improvement Over Other Rankings</t>
  </si>
  <si>
    <t>Strat.</t>
  </si>
  <si>
    <t>Corr.</t>
  </si>
  <si>
    <t>Completion improvements over generator</t>
  </si>
  <si>
    <t>i2e</t>
  </si>
  <si>
    <t>top 1</t>
  </si>
  <si>
    <t>top 5</t>
  </si>
  <si>
    <t>top 10</t>
  </si>
  <si>
    <t>length</t>
  </si>
  <si>
    <t>i2e.Element</t>
  </si>
  <si>
    <t>Element</t>
  </si>
  <si>
    <t>owns</t>
  </si>
  <si>
    <t>opened_by</t>
  </si>
  <si>
    <t>Researcher</t>
  </si>
  <si>
    <t>owns.opened_by</t>
  </si>
  <si>
    <t>Person</t>
  </si>
  <si>
    <t>p.owns.opened_by</t>
  </si>
  <si>
    <t>Room</t>
  </si>
  <si>
    <t>~left</t>
  </si>
  <si>
    <t>left</t>
  </si>
  <si>
    <t>right</t>
  </si>
  <si>
    <t>n.right</t>
  </si>
  <si>
    <t>^left</t>
  </si>
  <si>
    <t>^ext</t>
  </si>
  <si>
    <t>Class</t>
  </si>
  <si>
    <t>ext</t>
  </si>
  <si>
    <t>Object</t>
  </si>
  <si>
    <t>Group</t>
  </si>
  <si>
    <t>Tutors</t>
  </si>
  <si>
    <t>Teacher</t>
  </si>
  <si>
    <t>Teaches.c</t>
  </si>
  <si>
    <t>Student</t>
  </si>
  <si>
    <t>c</t>
  </si>
  <si>
    <t>Teaches</t>
  </si>
  <si>
    <t>p</t>
  </si>
  <si>
    <t>Groups.Group</t>
  </si>
  <si>
    <t>Groups</t>
  </si>
  <si>
    <t>Teaches.Groups</t>
  </si>
  <si>
    <t>Teacher -&gt; Student</t>
  </si>
  <si>
    <t>^Tutors.p</t>
  </si>
  <si>
    <t>c.Groups.Group</t>
  </si>
  <si>
    <t>c1</t>
  </si>
  <si>
    <t>c2</t>
  </si>
  <si>
    <t>Teacher.Teaches</t>
  </si>
  <si>
    <t>Tutors.p</t>
  </si>
  <si>
    <t>Professor</t>
  </si>
  <si>
    <t>grades</t>
  </si>
  <si>
    <t>c.projects</t>
  </si>
  <si>
    <t>enrolled</t>
  </si>
  <si>
    <t>projects</t>
  </si>
  <si>
    <t>p.enrolled</t>
  </si>
  <si>
    <t>projects.y</t>
  </si>
  <si>
    <t>grades.Grade</t>
  </si>
  <si>
    <t>Grade</t>
  </si>
  <si>
    <t>Course</t>
  </si>
  <si>
    <t>~enrolled</t>
  </si>
  <si>
    <t>teaches</t>
  </si>
  <si>
    <t>c.~enrolled</t>
  </si>
  <si>
    <t>x</t>
  </si>
  <si>
    <t>p.teaches.~enrolled</t>
  </si>
  <si>
    <t>enrolled.projects</t>
  </si>
  <si>
    <t>c.grades</t>
  </si>
  <si>
    <t>p.projects</t>
  </si>
  <si>
    <t>enrolled.c</t>
  </si>
  <si>
    <t>teaches.~enrolled</t>
  </si>
  <si>
    <t>g</t>
  </si>
  <si>
    <t>p.teaches</t>
  </si>
  <si>
    <t>~teaches</t>
  </si>
  <si>
    <t>p.enrolled.projects</t>
  </si>
  <si>
    <t>s.projects</t>
  </si>
  <si>
    <t>neighbors</t>
  </si>
  <si>
    <t>n2.^neighbors</t>
  </si>
  <si>
    <t>Color</t>
  </si>
  <si>
    <t>^neighbors</t>
  </si>
  <si>
    <t>n2.neighbors</t>
  </si>
  <si>
    <t>~ids</t>
  </si>
  <si>
    <t>y.ids</t>
  </si>
  <si>
    <t>visible</t>
  </si>
  <si>
    <t>profile</t>
  </si>
  <si>
    <t>Source</t>
  </si>
  <si>
    <t>ids</t>
  </si>
  <si>
    <t>source</t>
  </si>
  <si>
    <t>profile.source</t>
  </si>
  <si>
    <t>u.profile</t>
  </si>
  <si>
    <t>elem</t>
  </si>
  <si>
    <t>^nxt</t>
  </si>
  <si>
    <t>*nxt</t>
  </si>
  <si>
    <t>nxt.elem</t>
  </si>
  <si>
    <t>header.*nxt</t>
  </si>
  <si>
    <t>nxt</t>
  </si>
  <si>
    <t>FSM.start.*transition</t>
  </si>
  <si>
    <t>start</t>
  </si>
  <si>
    <t>transition</t>
  </si>
  <si>
    <t>start.*transition</t>
  </si>
  <si>
    <t>*transition</t>
  </si>
  <si>
    <t>stop.transition</t>
  </si>
  <si>
    <t>n.*transition</t>
  </si>
  <si>
    <t>stop</t>
  </si>
  <si>
    <t>FSM.stop</t>
  </si>
  <si>
    <t>assigned_to</t>
  </si>
  <si>
    <t>c.assistant_for</t>
  </si>
  <si>
    <t>c.instructor_of</t>
  </si>
  <si>
    <t>assistant_for</t>
  </si>
  <si>
    <t>instructor_of</t>
  </si>
  <si>
    <t>associated_with</t>
  </si>
  <si>
    <t>a.assigned_to</t>
  </si>
  <si>
    <t>~adj</t>
  </si>
  <si>
    <t>^adj</t>
  </si>
  <si>
    <t>*adj</t>
  </si>
  <si>
    <t>Node</t>
  </si>
  <si>
    <t>n.^adj</t>
  </si>
  <si>
    <t>p.shaken</t>
  </si>
  <si>
    <t>spouse</t>
  </si>
  <si>
    <t>shaken</t>
  </si>
  <si>
    <t>p.spouse</t>
  </si>
  <si>
    <t>q.shaken</t>
  </si>
  <si>
    <t>Jocelyn</t>
  </si>
  <si>
    <t>State</t>
  </si>
  <si>
    <t>^ts</t>
  </si>
  <si>
    <t>trans.State</t>
  </si>
  <si>
    <t>trans</t>
  </si>
  <si>
    <t>i.^ts</t>
  </si>
  <si>
    <t>s.^ts</t>
  </si>
  <si>
    <t>col</t>
  </si>
  <si>
    <t>row</t>
  </si>
  <si>
    <t>parts</t>
  </si>
  <si>
    <t>position</t>
  </si>
  <si>
    <t>Robot</t>
  </si>
  <si>
    <t>c.^parts</t>
  </si>
  <si>
    <t>Component</t>
  </si>
  <si>
    <t>^parts</t>
  </si>
  <si>
    <t>Product</t>
  </si>
  <si>
    <t>Dangerous</t>
  </si>
  <si>
    <t>workstation.workers</t>
  </si>
  <si>
    <t>workstation</t>
  </si>
  <si>
    <t>begin.*succ</t>
  </si>
  <si>
    <t>succ</t>
  </si>
  <si>
    <t>end</t>
  </si>
  <si>
    <t>Workstation</t>
  </si>
  <si>
    <t>*succ</t>
  </si>
  <si>
    <t>workers</t>
  </si>
  <si>
    <t>Human</t>
  </si>
  <si>
    <t>Worker</t>
  </si>
  <si>
    <t>work.workers</t>
  </si>
  <si>
    <t>link</t>
  </si>
  <si>
    <t>header.*link</t>
  </si>
  <si>
    <t>header</t>
  </si>
  <si>
    <t>*link</t>
  </si>
  <si>
    <t>follows</t>
  </si>
  <si>
    <t>suggested.posts</t>
  </si>
  <si>
    <t>u.follows.posts</t>
  </si>
  <si>
    <t>posts</t>
  </si>
  <si>
    <t>i</t>
  </si>
  <si>
    <t>p.follows</t>
  </si>
  <si>
    <t>User</t>
  </si>
  <si>
    <t>follows.posts</t>
  </si>
  <si>
    <t>sees</t>
  </si>
  <si>
    <t>posts.date</t>
  </si>
  <si>
    <t>Ad</t>
  </si>
  <si>
    <t>Photo</t>
  </si>
  <si>
    <t>suggested</t>
  </si>
  <si>
    <t>i.posts.date</t>
  </si>
  <si>
    <t>p.follows.posts</t>
  </si>
  <si>
    <t>date</t>
  </si>
  <si>
    <t>u.suggested.posts</t>
  </si>
  <si>
    <t>u</t>
  </si>
  <si>
    <t>u.sees</t>
  </si>
  <si>
    <t>Entry</t>
  </si>
  <si>
    <t>t1.^succs</t>
  </si>
  <si>
    <t>signals</t>
  </si>
  <si>
    <t>^succs</t>
  </si>
  <si>
    <t>Exit</t>
  </si>
  <si>
    <t>j</t>
  </si>
  <si>
    <t>succs</t>
  </si>
  <si>
    <t>t.signals</t>
  </si>
  <si>
    <t>Junction</t>
  </si>
  <si>
    <t>Signal</t>
  </si>
  <si>
    <t>Track.^succs</t>
  </si>
  <si>
    <t>e.signals</t>
  </si>
  <si>
    <t>Semaphore</t>
  </si>
  <si>
    <t>t.^succs</t>
  </si>
  <si>
    <t>t</t>
  </si>
  <si>
    <t>Track</t>
  </si>
  <si>
    <t>t.^prox</t>
  </si>
  <si>
    <t>Green</t>
  </si>
  <si>
    <t>signal</t>
  </si>
  <si>
    <t>pos</t>
  </si>
  <si>
    <t>prox</t>
  </si>
  <si>
    <t>j.signal</t>
  </si>
  <si>
    <t>s</t>
  </si>
  <si>
    <t>^prox</t>
  </si>
  <si>
    <t>f2</t>
  </si>
  <si>
    <t>Trash</t>
  </si>
  <si>
    <t>Protected</t>
  </si>
  <si>
    <t>File</t>
  </si>
  <si>
    <t>File'</t>
  </si>
  <si>
    <t>Protected'</t>
  </si>
  <si>
    <t>Trash'</t>
  </si>
  <si>
    <t>color</t>
  </si>
  <si>
    <t>~start</t>
  </si>
  <si>
    <t>adj</t>
  </si>
  <si>
    <t>ts</t>
  </si>
  <si>
    <t>trans.s1</t>
  </si>
  <si>
    <t>s1</t>
  </si>
  <si>
    <t>Position</t>
  </si>
  <si>
    <t>c.parts</t>
  </si>
  <si>
    <t>Train -&gt; Train</t>
  </si>
  <si>
    <t>model</t>
  </si>
  <si>
    <t># exact</t>
  </si>
  <si>
    <t>loc exact</t>
  </si>
  <si>
    <t>loc start</t>
  </si>
  <si>
    <t>loc start or match</t>
  </si>
  <si>
    <t># sem</t>
  </si>
  <si>
    <t>loc sem</t>
  </si>
  <si>
    <t>total sug</t>
  </si>
  <si>
    <t>% valid</t>
  </si>
  <si>
    <t>array</t>
  </si>
  <si>
    <t>bempl</t>
  </si>
  <si>
    <t>binary-tree</t>
  </si>
  <si>
    <t>class-diagram</t>
  </si>
  <si>
    <t>classroom</t>
  </si>
  <si>
    <t>classroom-fol</t>
  </si>
  <si>
    <t>classroom-rl</t>
  </si>
  <si>
    <t>courses-v1</t>
  </si>
  <si>
    <t>courses-v2</t>
  </si>
  <si>
    <t>c-tree</t>
  </si>
  <si>
    <t>cv</t>
  </si>
  <si>
    <t>dll</t>
  </si>
  <si>
    <t>fsm</t>
  </si>
  <si>
    <t>grade</t>
  </si>
  <si>
    <t>graph</t>
  </si>
  <si>
    <t>handshake</t>
  </si>
  <si>
    <t>lts</t>
  </si>
  <si>
    <t>nqueens</t>
  </si>
  <si>
    <t>production-line-v1</t>
  </si>
  <si>
    <t>production-line-v2</t>
  </si>
  <si>
    <t>production-line-v3</t>
  </si>
  <si>
    <t>singly-linked-list</t>
  </si>
  <si>
    <t>social-media</t>
  </si>
  <si>
    <t>train-station-fol</t>
  </si>
  <si>
    <t>train-station-ltl</t>
  </si>
  <si>
    <t>trash-fol</t>
  </si>
  <si>
    <t>trash-ltl</t>
  </si>
  <si>
    <t>trash-rl</t>
  </si>
  <si>
    <t>Model</t>
  </si>
  <si>
    <t># Loc</t>
  </si>
  <si>
    <t>Formula Completions</t>
  </si>
  <si>
    <t>Locations With</t>
  </si>
  <si>
    <t>% Valid</t>
  </si>
  <si>
    <t>Syn</t>
  </si>
  <si>
    <t xml:space="preserve"> Sem</t>
  </si>
  <si>
    <t>Start +</t>
  </si>
  <si>
    <t>c.ext</t>
  </si>
  <si>
    <t>p.Tutors</t>
  </si>
  <si>
    <t>n1.neighbors</t>
  </si>
  <si>
    <t>Id</t>
  </si>
  <si>
    <t>FSM</t>
  </si>
  <si>
    <t>n.adj</t>
  </si>
  <si>
    <t>Init</t>
  </si>
  <si>
    <t>t.succs</t>
  </si>
  <si>
    <t>t1.succs</t>
  </si>
  <si>
    <t>t.prox</t>
  </si>
  <si>
    <t>f.link</t>
  </si>
  <si>
    <t>f1.link</t>
  </si>
  <si>
    <t>y</t>
  </si>
  <si>
    <t>(c.ext)</t>
  </si>
  <si>
    <t>(c.Groups)</t>
  </si>
  <si>
    <t>(c1.Groups)</t>
  </si>
  <si>
    <t>(Teaches.c)</t>
  </si>
  <si>
    <t>(Tutors.p)</t>
  </si>
  <si>
    <t>Project</t>
  </si>
  <si>
    <t>(c.grades)</t>
  </si>
  <si>
    <t>(n1.color)</t>
  </si>
  <si>
    <t>(*transition)</t>
  </si>
  <si>
    <t>(~adj)</t>
  </si>
  <si>
    <t>(n.adj)</t>
  </si>
  <si>
    <t>(p.shaken)</t>
  </si>
  <si>
    <t>(c.parts)</t>
  </si>
  <si>
    <t>(c.workstation)</t>
  </si>
  <si>
    <t>(t.prox)</t>
  </si>
  <si>
    <t>(pos.t)</t>
  </si>
  <si>
    <t>(f.link)</t>
  </si>
  <si>
    <t>(f1.link)</t>
  </si>
  <si>
    <t>prox.t</t>
  </si>
  <si>
    <t>p.posts</t>
  </si>
  <si>
    <t>u.posts</t>
  </si>
  <si>
    <t>authorized</t>
  </si>
  <si>
    <t>(p.Teaches)</t>
  </si>
  <si>
    <t>(p.enrolled)</t>
  </si>
  <si>
    <t>(c.projects)</t>
  </si>
  <si>
    <t>(u.profile)</t>
  </si>
  <si>
    <t>Event</t>
  </si>
  <si>
    <t>(s.trans)</t>
  </si>
  <si>
    <t>(s1.trans)</t>
  </si>
  <si>
    <t>(position.(c.position))</t>
  </si>
  <si>
    <t>(p.follows)</t>
  </si>
  <si>
    <t>(u.follows)</t>
  </si>
  <si>
    <t>(t.signals)</t>
  </si>
  <si>
    <t>(e.signals)</t>
  </si>
  <si>
    <t>(t1.signals)</t>
  </si>
  <si>
    <t>((Person-Professor)-Student)</t>
  </si>
  <si>
    <t>(enrolled&amp;(enrolled-teaches))</t>
  </si>
  <si>
    <t>(start+stop)</t>
  </si>
  <si>
    <t>((File-Protected)-Trash)</t>
  </si>
  <si>
    <t>c.~Teaches</t>
  </si>
  <si>
    <t>p.~Tutors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</si>
</sst>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Consolas"/>
      <family val="3"/>
    </font>
    <font>
      <b/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0" fillId="0" borderId="1" xfId="0" applyBorder="1" applyAlignment="1">
      <alignment horizontal="right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/>
    <xf numFmtId="2" fontId="0" fillId="0" borderId="0" xfId="0" applyNumberFormat="1"/>
    <xf numFmtId="2" fontId="0" fillId="0" borderId="1" xfId="0" applyNumberFormat="1" applyBorder="1"/>
    <xf numFmtId="0" fontId="3" fillId="0" borderId="1" xfId="0" applyFont="1" applyBorder="1"/>
    <xf numFmtId="2" fontId="3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4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/>
    <xf numFmtId="0" fontId="1" fillId="0" borderId="0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17B59-9500-421F-96DA-B115E64376BB}">
  <dimension ref="A1:AC54"/>
  <sheetViews>
    <sheetView tabSelected="1" workbookViewId="0">
      <selection activeCell="Q19" sqref="Q19"/>
    </sheetView>
  </sheetViews>
  <sheetFormatPr defaultRowHeight="14.5" x14ac:dyDescent="0.35"/>
  <sheetData>
    <row r="1" spans="1:26" x14ac:dyDescent="0.35">
      <c r="A1" t="s">
        <v>0</v>
      </c>
      <c r="C1">
        <v>585</v>
      </c>
    </row>
    <row r="2" spans="1:26" x14ac:dyDescent="0.35">
      <c r="A2" t="s">
        <v>1</v>
      </c>
    </row>
    <row r="3" spans="1:26" x14ac:dyDescent="0.35">
      <c r="A3" s="16" t="s">
        <v>2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N3" s="26"/>
      <c r="O3" s="26"/>
      <c r="P3" s="26"/>
      <c r="Q3" s="24"/>
      <c r="R3" s="24"/>
      <c r="S3" s="24"/>
      <c r="T3" s="25"/>
      <c r="U3" s="26"/>
      <c r="V3" s="26"/>
      <c r="W3" s="26"/>
      <c r="X3" s="24"/>
      <c r="Y3" s="24"/>
      <c r="Z3" s="24"/>
    </row>
    <row r="4" spans="1:26" x14ac:dyDescent="0.35">
      <c r="A4" s="16" t="s">
        <v>6</v>
      </c>
      <c r="B4" s="16"/>
      <c r="C4" s="16"/>
      <c r="D4" s="16" t="s">
        <v>7</v>
      </c>
      <c r="E4" s="16"/>
      <c r="F4" s="16"/>
      <c r="G4" s="16" t="s">
        <v>8</v>
      </c>
      <c r="H4" s="16"/>
      <c r="I4" s="16"/>
      <c r="J4" s="16" t="s">
        <v>9</v>
      </c>
      <c r="K4" s="16"/>
      <c r="L4" s="16"/>
      <c r="N4" s="26"/>
      <c r="O4" s="26"/>
      <c r="P4" s="26"/>
      <c r="Q4" s="25"/>
      <c r="R4" s="25"/>
      <c r="S4" s="25"/>
      <c r="T4" s="25"/>
      <c r="U4" s="26"/>
      <c r="V4" s="26"/>
      <c r="W4" s="26"/>
      <c r="X4" s="25"/>
      <c r="Y4" s="25"/>
      <c r="Z4" s="25"/>
    </row>
    <row r="5" spans="1:26" x14ac:dyDescent="0.35">
      <c r="A5" s="2" t="s">
        <v>3</v>
      </c>
      <c r="B5" s="2" t="s">
        <v>4</v>
      </c>
      <c r="C5" s="2" t="s">
        <v>5</v>
      </c>
      <c r="D5" s="2" t="s">
        <v>3</v>
      </c>
      <c r="E5" s="2" t="s">
        <v>4</v>
      </c>
      <c r="F5" s="2" t="s">
        <v>5</v>
      </c>
      <c r="G5" s="2" t="s">
        <v>3</v>
      </c>
      <c r="H5" s="2" t="s">
        <v>4</v>
      </c>
      <c r="I5" s="2" t="s">
        <v>5</v>
      </c>
      <c r="J5" s="2" t="s">
        <v>3</v>
      </c>
      <c r="K5" s="2" t="s">
        <v>4</v>
      </c>
      <c r="L5" s="2" t="s">
        <v>5</v>
      </c>
      <c r="N5" s="26"/>
      <c r="O5" s="26"/>
      <c r="P5" s="26"/>
      <c r="Q5" s="25"/>
      <c r="R5" s="25"/>
      <c r="S5" s="25"/>
      <c r="T5" s="25"/>
      <c r="U5" s="26"/>
      <c r="V5" s="26"/>
      <c r="W5" s="26"/>
      <c r="X5" s="25"/>
      <c r="Y5" s="25"/>
      <c r="Z5" s="25"/>
    </row>
    <row r="6" spans="1:26" x14ac:dyDescent="0.35">
      <c r="A6" s="4">
        <f>'formula - syn -len-alpha'!T2</f>
        <v>96</v>
      </c>
      <c r="B6" s="4">
        <f>'formula - syn -len-alpha'!U2</f>
        <v>261</v>
      </c>
      <c r="C6" s="4">
        <f>'formula - syn -len-alpha'!V2</f>
        <v>440</v>
      </c>
      <c r="D6" s="4">
        <f>'formula - syn -len-alpha'!Q2</f>
        <v>84</v>
      </c>
      <c r="E6" s="4">
        <f>'formula - syn -len-alpha'!R2</f>
        <v>170</v>
      </c>
      <c r="F6" s="4">
        <f>'formula - syn -len-alpha'!S2</f>
        <v>262</v>
      </c>
      <c r="G6" s="4">
        <f>'formula - syn -len-alpha'!N2</f>
        <v>65</v>
      </c>
      <c r="H6" s="4">
        <f>'formula - syn -len-alpha'!O2</f>
        <v>185</v>
      </c>
      <c r="I6" s="4">
        <f>'formula - syn -len-alpha'!P2</f>
        <v>248</v>
      </c>
      <c r="J6" s="4">
        <f>'formula - syn -len-alpha'!K2</f>
        <v>192</v>
      </c>
      <c r="K6" s="4">
        <f>'formula - syn -len-alpha'!L2</f>
        <v>453</v>
      </c>
      <c r="L6" s="4">
        <f>'formula - syn -len-alpha'!M2</f>
        <v>516</v>
      </c>
      <c r="N6" s="26"/>
      <c r="O6" s="26"/>
      <c r="P6" s="26"/>
      <c r="Q6" s="25"/>
      <c r="R6" s="25"/>
      <c r="S6" s="25"/>
      <c r="T6" s="25"/>
      <c r="U6" s="26"/>
      <c r="V6" s="26"/>
      <c r="W6" s="26"/>
      <c r="X6" s="25"/>
      <c r="Y6" s="25"/>
      <c r="Z6" s="25"/>
    </row>
    <row r="7" spans="1:26" x14ac:dyDescent="0.35">
      <c r="N7" s="26"/>
      <c r="O7" s="26"/>
      <c r="P7" s="26"/>
      <c r="Q7" s="25"/>
      <c r="R7" s="25"/>
      <c r="S7" s="25"/>
      <c r="T7" s="25"/>
      <c r="U7" s="26"/>
      <c r="V7" s="26"/>
      <c r="W7" s="26"/>
      <c r="X7" s="25"/>
      <c r="Y7" s="25"/>
      <c r="Z7" s="25"/>
    </row>
    <row r="8" spans="1:26" x14ac:dyDescent="0.35">
      <c r="A8" s="16" t="s">
        <v>10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N8" s="26"/>
      <c r="O8" s="26"/>
      <c r="P8" s="26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spans="1:26" x14ac:dyDescent="0.35">
      <c r="A9" s="16" t="s">
        <v>6</v>
      </c>
      <c r="B9" s="16"/>
      <c r="C9" s="16"/>
      <c r="D9" s="16" t="s">
        <v>7</v>
      </c>
      <c r="E9" s="16"/>
      <c r="F9" s="16"/>
      <c r="G9" s="16" t="s">
        <v>8</v>
      </c>
      <c r="H9" s="16"/>
      <c r="I9" s="16"/>
      <c r="J9" s="16" t="s">
        <v>9</v>
      </c>
      <c r="K9" s="16"/>
      <c r="L9" s="16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spans="1:26" x14ac:dyDescent="0.35">
      <c r="A10" s="2" t="s">
        <v>3</v>
      </c>
      <c r="B10" s="2" t="s">
        <v>4</v>
      </c>
      <c r="C10" s="2" t="s">
        <v>5</v>
      </c>
      <c r="D10" s="2" t="s">
        <v>3</v>
      </c>
      <c r="E10" s="2" t="s">
        <v>4</v>
      </c>
      <c r="F10" s="2" t="s">
        <v>5</v>
      </c>
      <c r="G10" s="2" t="s">
        <v>3</v>
      </c>
      <c r="H10" s="2" t="s">
        <v>4</v>
      </c>
      <c r="I10" s="2" t="s">
        <v>5</v>
      </c>
      <c r="J10" s="2" t="s">
        <v>3</v>
      </c>
      <c r="K10" s="2" t="s">
        <v>4</v>
      </c>
      <c r="L10" s="2" t="s">
        <v>5</v>
      </c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spans="1:26" x14ac:dyDescent="0.35">
      <c r="A11" s="1">
        <f>'formula first - length - alpha'!T2</f>
        <v>132</v>
      </c>
      <c r="B11" s="1">
        <f>'formula first - length - alpha'!U2</f>
        <v>304</v>
      </c>
      <c r="C11" s="1">
        <f>'formula first - length - alpha'!V2</f>
        <v>468</v>
      </c>
      <c r="D11" s="1">
        <f>'formula first - length - alpha'!Q2</f>
        <v>116</v>
      </c>
      <c r="E11" s="1">
        <f>'formula first - length - alpha'!R2</f>
        <v>200</v>
      </c>
      <c r="F11" s="1">
        <f>'formula first - length - alpha'!S2</f>
        <v>277</v>
      </c>
      <c r="G11" s="1">
        <f>'formula first - length - alpha'!N2</f>
        <v>78</v>
      </c>
      <c r="H11" s="1">
        <f>'formula first - length - alpha'!O2</f>
        <v>199</v>
      </c>
      <c r="I11" s="1">
        <f>'formula first - length - alpha'!P2</f>
        <v>273</v>
      </c>
      <c r="J11" s="1">
        <f>'formula first - length - alpha'!K2</f>
        <v>392</v>
      </c>
      <c r="K11" s="1">
        <f>'formula first - length - alpha'!L2</f>
        <v>539</v>
      </c>
      <c r="L11" s="1">
        <f>'formula first - length - alpha'!M2</f>
        <v>562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spans="1:26" x14ac:dyDescent="0.35"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spans="1:26" x14ac:dyDescent="0.35">
      <c r="A13" s="3" t="s">
        <v>11</v>
      </c>
      <c r="B13" s="3"/>
      <c r="C13" s="3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spans="1:26" x14ac:dyDescent="0.35">
      <c r="A14" s="16" t="s">
        <v>2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N14" s="26"/>
      <c r="O14" s="26"/>
      <c r="P14" s="26"/>
      <c r="Q14" s="24"/>
      <c r="R14" s="24"/>
      <c r="S14" s="24"/>
      <c r="T14" s="25"/>
      <c r="U14" s="26"/>
      <c r="V14" s="26"/>
      <c r="W14" s="26"/>
      <c r="X14" s="24"/>
      <c r="Y14" s="24"/>
      <c r="Z14" s="24"/>
    </row>
    <row r="15" spans="1:26" x14ac:dyDescent="0.35">
      <c r="A15" s="16" t="s">
        <v>6</v>
      </c>
      <c r="B15" s="16"/>
      <c r="C15" s="16"/>
      <c r="D15" s="16" t="s">
        <v>7</v>
      </c>
      <c r="E15" s="16"/>
      <c r="F15" s="16"/>
      <c r="G15" s="16" t="s">
        <v>8</v>
      </c>
      <c r="H15" s="16"/>
      <c r="I15" s="16"/>
      <c r="J15" s="16" t="s">
        <v>9</v>
      </c>
      <c r="K15" s="16"/>
      <c r="L15" s="16"/>
      <c r="N15" s="26"/>
      <c r="O15" s="26"/>
      <c r="P15" s="26"/>
      <c r="Q15" s="25"/>
      <c r="R15" s="25"/>
      <c r="S15" s="25"/>
      <c r="T15" s="25"/>
      <c r="U15" s="26"/>
      <c r="V15" s="26"/>
      <c r="W15" s="26"/>
      <c r="X15" s="25"/>
      <c r="Y15" s="25"/>
      <c r="Z15" s="25"/>
    </row>
    <row r="16" spans="1:26" x14ac:dyDescent="0.35">
      <c r="A16" s="2" t="s">
        <v>3</v>
      </c>
      <c r="B16" s="2" t="s">
        <v>4</v>
      </c>
      <c r="C16" s="2" t="s">
        <v>5</v>
      </c>
      <c r="D16" s="2" t="s">
        <v>3</v>
      </c>
      <c r="E16" s="2" t="s">
        <v>4</v>
      </c>
      <c r="F16" s="2" t="s">
        <v>5</v>
      </c>
      <c r="G16" s="2" t="s">
        <v>3</v>
      </c>
      <c r="H16" s="2" t="s">
        <v>4</v>
      </c>
      <c r="I16" s="2" t="s">
        <v>5</v>
      </c>
      <c r="J16" s="2" t="s">
        <v>3</v>
      </c>
      <c r="K16" s="2" t="s">
        <v>4</v>
      </c>
      <c r="L16" s="2" t="s">
        <v>5</v>
      </c>
      <c r="N16" s="26"/>
      <c r="O16" s="26"/>
      <c r="P16" s="26"/>
      <c r="Q16" s="25"/>
      <c r="R16" s="25"/>
      <c r="S16" s="25"/>
      <c r="T16" s="25"/>
      <c r="U16" s="26"/>
      <c r="V16" s="26"/>
      <c r="W16" s="26"/>
      <c r="X16" s="25"/>
      <c r="Y16" s="25"/>
      <c r="Z16" s="25"/>
    </row>
    <row r="17" spans="1:29" x14ac:dyDescent="0.35">
      <c r="A17" s="4">
        <f>'gen - syn - len alpha'!T2</f>
        <v>31</v>
      </c>
      <c r="B17" s="4">
        <f>'gen - syn - len alpha'!U2</f>
        <v>111</v>
      </c>
      <c r="C17" s="4">
        <f>'gen - syn - len alpha'!V2</f>
        <v>244</v>
      </c>
      <c r="D17" s="4">
        <f>'gen - syn - len alpha'!Q2</f>
        <v>0</v>
      </c>
      <c r="E17" s="4">
        <f>'gen - syn - len alpha'!R2</f>
        <v>0</v>
      </c>
      <c r="F17" s="4">
        <f>'gen - syn - len alpha'!S2</f>
        <v>1</v>
      </c>
      <c r="G17" s="4">
        <f>'gen - syn - len alpha'!N2</f>
        <v>0</v>
      </c>
      <c r="H17" s="4">
        <f>'gen - syn - len alpha'!O2</f>
        <v>0</v>
      </c>
      <c r="I17" s="4">
        <f>'gen - syn - len alpha'!P2</f>
        <v>1</v>
      </c>
      <c r="J17" s="4">
        <f>'gen - syn - len alpha'!K2</f>
        <v>105</v>
      </c>
      <c r="K17" s="4">
        <f>'gen - syn - len alpha'!L2</f>
        <v>353</v>
      </c>
      <c r="L17" s="4">
        <f>'gen - syn - len alpha'!M2</f>
        <v>404</v>
      </c>
      <c r="N17" s="26"/>
      <c r="O17" s="26"/>
      <c r="P17" s="26"/>
      <c r="Q17" s="25"/>
      <c r="R17" s="25"/>
      <c r="S17" s="25"/>
      <c r="T17" s="25"/>
      <c r="U17" s="26"/>
      <c r="V17" s="26"/>
      <c r="W17" s="26"/>
      <c r="X17" s="25"/>
      <c r="Y17" s="25"/>
      <c r="Z17" s="25"/>
    </row>
    <row r="18" spans="1:29" x14ac:dyDescent="0.35">
      <c r="N18" s="26"/>
      <c r="O18" s="26"/>
      <c r="P18" s="26"/>
      <c r="Q18" s="25"/>
      <c r="R18" s="25"/>
      <c r="S18" s="25"/>
      <c r="T18" s="25"/>
      <c r="U18" s="26"/>
      <c r="V18" s="26"/>
      <c r="W18" s="26"/>
      <c r="X18" s="25"/>
      <c r="Y18" s="25"/>
      <c r="Z18" s="25"/>
    </row>
    <row r="19" spans="1:29" x14ac:dyDescent="0.35">
      <c r="A19" s="16" t="s">
        <v>10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N19" s="23"/>
      <c r="O19" s="23"/>
      <c r="P19" s="23"/>
    </row>
    <row r="20" spans="1:29" x14ac:dyDescent="0.35">
      <c r="A20" s="16" t="s">
        <v>6</v>
      </c>
      <c r="B20" s="16"/>
      <c r="C20" s="16"/>
      <c r="D20" s="16" t="s">
        <v>7</v>
      </c>
      <c r="E20" s="16"/>
      <c r="F20" s="16"/>
      <c r="G20" s="16" t="s">
        <v>8</v>
      </c>
      <c r="H20" s="16"/>
      <c r="I20" s="16"/>
      <c r="J20" s="16" t="s">
        <v>9</v>
      </c>
      <c r="K20" s="16"/>
      <c r="L20" s="16"/>
    </row>
    <row r="21" spans="1:29" x14ac:dyDescent="0.35">
      <c r="A21" s="2" t="s">
        <v>3</v>
      </c>
      <c r="B21" s="2" t="s">
        <v>4</v>
      </c>
      <c r="C21" s="2" t="s">
        <v>5</v>
      </c>
      <c r="D21" s="2" t="s">
        <v>3</v>
      </c>
      <c r="E21" s="2" t="s">
        <v>4</v>
      </c>
      <c r="F21" s="2" t="s">
        <v>5</v>
      </c>
      <c r="G21" s="2" t="s">
        <v>3</v>
      </c>
      <c r="H21" s="2" t="s">
        <v>4</v>
      </c>
      <c r="I21" s="2" t="s">
        <v>5</v>
      </c>
      <c r="J21" s="2" t="s">
        <v>3</v>
      </c>
      <c r="K21" s="2" t="s">
        <v>4</v>
      </c>
      <c r="L21" s="2" t="s">
        <v>5</v>
      </c>
    </row>
    <row r="22" spans="1:29" x14ac:dyDescent="0.35">
      <c r="A22" s="1">
        <f>'gen - first - len - alpha'!T2</f>
        <v>43</v>
      </c>
      <c r="B22" s="1">
        <f>'gen - first - len - alpha'!U2</f>
        <v>159</v>
      </c>
      <c r="C22" s="1">
        <f>'gen - first - len - alpha'!V2</f>
        <v>318</v>
      </c>
      <c r="D22" s="1">
        <f>'gen - first - len - alpha'!Q2</f>
        <v>0</v>
      </c>
      <c r="E22" s="1">
        <f>'gen - first - len - alpha'!R2</f>
        <v>1</v>
      </c>
      <c r="F22" s="1">
        <f>'gen - first - len - alpha'!S2</f>
        <v>2</v>
      </c>
      <c r="G22" s="1">
        <f>'gen - first - len - alpha'!N2</f>
        <v>0</v>
      </c>
      <c r="H22" s="1">
        <f>'gen - first - len - alpha'!O2</f>
        <v>0</v>
      </c>
      <c r="I22" s="1">
        <f>'gen - first - len - alpha'!P2</f>
        <v>2</v>
      </c>
      <c r="J22" s="1">
        <f>'gen - first - len - alpha'!K2</f>
        <v>334</v>
      </c>
      <c r="K22" s="1">
        <f>'gen - first - len - alpha'!L2</f>
        <v>505</v>
      </c>
      <c r="L22" s="1">
        <f>'gen - first - len - alpha'!M2</f>
        <v>534</v>
      </c>
    </row>
    <row r="24" spans="1:29" x14ac:dyDescent="0.35">
      <c r="I24">
        <v>625</v>
      </c>
    </row>
    <row r="25" spans="1:29" x14ac:dyDescent="0.35">
      <c r="A25" s="20" t="s">
        <v>12</v>
      </c>
      <c r="B25" s="17" t="s">
        <v>13</v>
      </c>
      <c r="C25" s="16" t="s">
        <v>14</v>
      </c>
      <c r="D25" s="16"/>
      <c r="E25" s="16"/>
      <c r="F25" s="16"/>
      <c r="G25" s="16"/>
      <c r="H25" s="16"/>
      <c r="I25" s="16" t="s">
        <v>15</v>
      </c>
      <c r="J25" s="16"/>
      <c r="K25" s="16"/>
      <c r="L25" s="16"/>
      <c r="M25" s="16"/>
      <c r="N25" s="16"/>
    </row>
    <row r="26" spans="1:29" x14ac:dyDescent="0.35">
      <c r="A26" s="21"/>
      <c r="B26" s="18"/>
      <c r="C26" s="16" t="s">
        <v>16</v>
      </c>
      <c r="D26" s="16"/>
      <c r="E26" s="16"/>
      <c r="F26" s="16" t="s">
        <v>1</v>
      </c>
      <c r="G26" s="16"/>
      <c r="H26" s="16"/>
      <c r="I26" s="16" t="s">
        <v>16</v>
      </c>
      <c r="J26" s="16"/>
      <c r="K26" s="16"/>
      <c r="L26" s="16" t="s">
        <v>1</v>
      </c>
      <c r="M26" s="16"/>
      <c r="N26" s="16"/>
    </row>
    <row r="27" spans="1:29" x14ac:dyDescent="0.35">
      <c r="A27" s="22"/>
      <c r="B27" s="19"/>
      <c r="C27" s="2" t="s">
        <v>3</v>
      </c>
      <c r="D27" s="2" t="s">
        <v>4</v>
      </c>
      <c r="E27" s="2" t="s">
        <v>5</v>
      </c>
      <c r="F27" s="2" t="s">
        <v>3</v>
      </c>
      <c r="G27" s="2" t="s">
        <v>4</v>
      </c>
      <c r="H27" s="2" t="s">
        <v>5</v>
      </c>
      <c r="I27" s="2" t="s">
        <v>3</v>
      </c>
      <c r="J27" s="2" t="s">
        <v>4</v>
      </c>
      <c r="K27" s="2" t="s">
        <v>5</v>
      </c>
      <c r="L27" s="2" t="s">
        <v>3</v>
      </c>
      <c r="M27" s="2" t="s">
        <v>4</v>
      </c>
      <c r="N27" s="2" t="s">
        <v>5</v>
      </c>
    </row>
    <row r="28" spans="1:29" x14ac:dyDescent="0.35">
      <c r="A28" s="17" t="s">
        <v>17</v>
      </c>
      <c r="B28" s="8" t="s">
        <v>7</v>
      </c>
      <c r="C28" s="1">
        <f>D17</f>
        <v>0</v>
      </c>
      <c r="D28" s="1">
        <f>E17</f>
        <v>0</v>
      </c>
      <c r="E28" s="1">
        <f>F17</f>
        <v>1</v>
      </c>
      <c r="F28" s="1">
        <f>D6</f>
        <v>84</v>
      </c>
      <c r="G28" s="1">
        <f>E6</f>
        <v>170</v>
      </c>
      <c r="H28" s="1">
        <f>F6</f>
        <v>262</v>
      </c>
      <c r="I28" s="10">
        <f>(C28/$I$24)*100</f>
        <v>0</v>
      </c>
      <c r="J28" s="10">
        <f t="shared" ref="J28:N28" si="0">(D28/$I$24)*100</f>
        <v>0</v>
      </c>
      <c r="K28" s="10">
        <f t="shared" si="0"/>
        <v>0.16</v>
      </c>
      <c r="L28" s="10">
        <f t="shared" si="0"/>
        <v>13.44</v>
      </c>
      <c r="M28" s="10">
        <f t="shared" si="0"/>
        <v>27.200000000000003</v>
      </c>
      <c r="N28" s="10">
        <f t="shared" si="0"/>
        <v>41.92</v>
      </c>
      <c r="X28" s="9"/>
      <c r="Y28" s="9"/>
      <c r="Z28" s="9"/>
      <c r="AA28" s="9"/>
      <c r="AB28" s="9"/>
      <c r="AC28" s="9"/>
    </row>
    <row r="29" spans="1:29" x14ac:dyDescent="0.35">
      <c r="A29" s="18"/>
      <c r="B29" s="8" t="s">
        <v>6</v>
      </c>
      <c r="C29" s="1">
        <f>A17</f>
        <v>31</v>
      </c>
      <c r="D29" s="1">
        <f>B17</f>
        <v>111</v>
      </c>
      <c r="E29" s="1">
        <f>C17</f>
        <v>244</v>
      </c>
      <c r="F29" s="1">
        <f>A6</f>
        <v>96</v>
      </c>
      <c r="G29" s="1">
        <f>B6</f>
        <v>261</v>
      </c>
      <c r="H29" s="1">
        <f>C6</f>
        <v>440</v>
      </c>
      <c r="I29" s="10">
        <f t="shared" ref="I29:I33" si="1">(C29/$I$24)*100</f>
        <v>4.96</v>
      </c>
      <c r="J29" s="10">
        <f t="shared" ref="J29:J33" si="2">(D29/$I$24)*100</f>
        <v>17.760000000000002</v>
      </c>
      <c r="K29" s="10">
        <f t="shared" ref="K29:K33" si="3">(E29/$I$24)*100</f>
        <v>39.04</v>
      </c>
      <c r="L29" s="10">
        <f t="shared" ref="L29:L33" si="4">(F29/$I$24)*100</f>
        <v>15.36</v>
      </c>
      <c r="M29" s="10">
        <f t="shared" ref="M29:M33" si="5">(G29/$I$24)*100</f>
        <v>41.760000000000005</v>
      </c>
      <c r="N29" s="10">
        <f t="shared" ref="N29:N33" si="6">(H29/$I$24)*100</f>
        <v>70.399999999999991</v>
      </c>
      <c r="X29" s="9"/>
      <c r="Y29" s="9"/>
      <c r="Z29" s="9"/>
      <c r="AA29" s="9"/>
      <c r="AB29" s="9"/>
      <c r="AC29" s="9"/>
    </row>
    <row r="30" spans="1:29" x14ac:dyDescent="0.35">
      <c r="A30" s="19"/>
      <c r="B30" s="8" t="s">
        <v>18</v>
      </c>
      <c r="C30" s="13">
        <f>J17</f>
        <v>105</v>
      </c>
      <c r="D30" s="13">
        <f>K17</f>
        <v>353</v>
      </c>
      <c r="E30" s="13">
        <f>L17</f>
        <v>404</v>
      </c>
      <c r="F30" s="11">
        <f>J6</f>
        <v>192</v>
      </c>
      <c r="G30" s="11">
        <f>K6</f>
        <v>453</v>
      </c>
      <c r="H30" s="11">
        <f>L6</f>
        <v>516</v>
      </c>
      <c r="I30" s="14">
        <f t="shared" si="1"/>
        <v>16.8</v>
      </c>
      <c r="J30" s="14">
        <f t="shared" si="2"/>
        <v>56.48</v>
      </c>
      <c r="K30" s="14">
        <f t="shared" si="3"/>
        <v>64.64</v>
      </c>
      <c r="L30" s="12">
        <f t="shared" si="4"/>
        <v>30.72</v>
      </c>
      <c r="M30" s="12">
        <f t="shared" si="5"/>
        <v>72.48</v>
      </c>
      <c r="N30" s="12">
        <f t="shared" si="6"/>
        <v>82.56</v>
      </c>
      <c r="X30" s="9"/>
      <c r="Y30" s="9"/>
      <c r="Z30" s="9"/>
      <c r="AA30" s="9"/>
      <c r="AB30" s="9"/>
      <c r="AC30" s="9"/>
    </row>
    <row r="31" spans="1:29" x14ac:dyDescent="0.35">
      <c r="A31" s="16" t="s">
        <v>19</v>
      </c>
      <c r="B31" s="8" t="s">
        <v>7</v>
      </c>
      <c r="C31" s="13">
        <f>D22</f>
        <v>0</v>
      </c>
      <c r="D31" s="13">
        <f>E22</f>
        <v>1</v>
      </c>
      <c r="E31" s="13">
        <f>F22</f>
        <v>2</v>
      </c>
      <c r="F31" s="13">
        <f>D11</f>
        <v>116</v>
      </c>
      <c r="G31" s="13">
        <f>E11</f>
        <v>200</v>
      </c>
      <c r="H31" s="13">
        <f>F11</f>
        <v>277</v>
      </c>
      <c r="I31" s="14">
        <f t="shared" si="1"/>
        <v>0</v>
      </c>
      <c r="J31" s="14">
        <f t="shared" si="2"/>
        <v>0.16</v>
      </c>
      <c r="K31" s="14">
        <f t="shared" si="3"/>
        <v>0.32</v>
      </c>
      <c r="L31" s="14">
        <f t="shared" si="4"/>
        <v>18.559999999999999</v>
      </c>
      <c r="M31" s="14">
        <f t="shared" si="5"/>
        <v>32</v>
      </c>
      <c r="N31" s="14">
        <f t="shared" si="6"/>
        <v>44.32</v>
      </c>
      <c r="X31" s="9"/>
      <c r="Y31" s="9"/>
      <c r="Z31" s="9"/>
      <c r="AA31" s="9"/>
      <c r="AB31" s="9"/>
      <c r="AC31" s="9"/>
    </row>
    <row r="32" spans="1:29" x14ac:dyDescent="0.35">
      <c r="A32" s="16"/>
      <c r="B32" s="8" t="s">
        <v>6</v>
      </c>
      <c r="C32" s="13">
        <f>A22</f>
        <v>43</v>
      </c>
      <c r="D32" s="13">
        <f>B22</f>
        <v>159</v>
      </c>
      <c r="E32" s="13">
        <f>C22</f>
        <v>318</v>
      </c>
      <c r="F32" s="13">
        <f>A11</f>
        <v>132</v>
      </c>
      <c r="G32" s="13">
        <f>B11</f>
        <v>304</v>
      </c>
      <c r="H32" s="13">
        <f>C11</f>
        <v>468</v>
      </c>
      <c r="I32" s="14">
        <f t="shared" si="1"/>
        <v>6.88</v>
      </c>
      <c r="J32" s="14">
        <f t="shared" si="2"/>
        <v>25.44</v>
      </c>
      <c r="K32" s="14">
        <f t="shared" si="3"/>
        <v>50.88</v>
      </c>
      <c r="L32" s="14">
        <f t="shared" si="4"/>
        <v>21.12</v>
      </c>
      <c r="M32" s="14">
        <f t="shared" si="5"/>
        <v>48.64</v>
      </c>
      <c r="N32" s="14">
        <f t="shared" si="6"/>
        <v>74.88</v>
      </c>
      <c r="X32" s="9"/>
      <c r="Y32" s="9"/>
      <c r="Z32" s="9"/>
      <c r="AA32" s="9"/>
      <c r="AB32" s="9"/>
      <c r="AC32" s="9"/>
    </row>
    <row r="33" spans="1:29" x14ac:dyDescent="0.35">
      <c r="A33" s="16"/>
      <c r="B33" s="8" t="s">
        <v>18</v>
      </c>
      <c r="C33" s="13">
        <f>J22</f>
        <v>334</v>
      </c>
      <c r="D33" s="13">
        <f>K22</f>
        <v>505</v>
      </c>
      <c r="E33" s="13">
        <f>L22</f>
        <v>534</v>
      </c>
      <c r="F33" s="11">
        <f>J11</f>
        <v>392</v>
      </c>
      <c r="G33" s="11">
        <f>K11</f>
        <v>539</v>
      </c>
      <c r="H33" s="11">
        <f>L11</f>
        <v>562</v>
      </c>
      <c r="I33" s="14">
        <f t="shared" si="1"/>
        <v>53.44</v>
      </c>
      <c r="J33" s="14">
        <f t="shared" si="2"/>
        <v>80.800000000000011</v>
      </c>
      <c r="K33" s="14">
        <f t="shared" si="3"/>
        <v>85.44</v>
      </c>
      <c r="L33" s="12">
        <f t="shared" si="4"/>
        <v>62.72</v>
      </c>
      <c r="M33" s="12">
        <f t="shared" si="5"/>
        <v>86.240000000000009</v>
      </c>
      <c r="N33" s="12">
        <f t="shared" si="6"/>
        <v>89.92</v>
      </c>
      <c r="X33" s="9"/>
      <c r="Y33" s="9"/>
      <c r="Z33" s="9"/>
      <c r="AA33" s="9"/>
      <c r="AB33" s="9"/>
      <c r="AC33" s="9"/>
    </row>
    <row r="36" spans="1:29" x14ac:dyDescent="0.35">
      <c r="C36" t="s">
        <v>20</v>
      </c>
    </row>
    <row r="38" spans="1:29" x14ac:dyDescent="0.35">
      <c r="A38" s="16" t="s">
        <v>21</v>
      </c>
      <c r="B38" s="16" t="s">
        <v>22</v>
      </c>
      <c r="C38" s="16" t="s">
        <v>16</v>
      </c>
      <c r="D38" s="16"/>
      <c r="E38" s="16"/>
      <c r="F38" s="16" t="s">
        <v>1</v>
      </c>
      <c r="G38" s="16"/>
      <c r="H38" s="16"/>
    </row>
    <row r="39" spans="1:29" x14ac:dyDescent="0.35">
      <c r="A39" s="16"/>
      <c r="B39" s="16"/>
      <c r="C39" s="2" t="s">
        <v>3</v>
      </c>
      <c r="D39" s="2" t="s">
        <v>4</v>
      </c>
      <c r="E39" s="2" t="s">
        <v>5</v>
      </c>
      <c r="F39" s="2" t="s">
        <v>3</v>
      </c>
      <c r="G39" s="2" t="s">
        <v>4</v>
      </c>
      <c r="H39" s="2" t="s">
        <v>5</v>
      </c>
    </row>
    <row r="40" spans="1:29" x14ac:dyDescent="0.35">
      <c r="A40" s="16" t="s">
        <v>7</v>
      </c>
      <c r="B40" s="2" t="s">
        <v>17</v>
      </c>
      <c r="C40" s="10"/>
      <c r="D40" s="10"/>
      <c r="E40" s="10">
        <f>(E30-E28/E28)*100</f>
        <v>40300</v>
      </c>
      <c r="F40" s="10">
        <f>(F30-F28/F28)*100</f>
        <v>19100</v>
      </c>
      <c r="G40" s="10">
        <f t="shared" ref="G40:H40" si="7">(G30-G28/G28)*100</f>
        <v>45200</v>
      </c>
      <c r="H40" s="10">
        <f t="shared" si="7"/>
        <v>51500</v>
      </c>
      <c r="R40" s="9"/>
      <c r="S40" s="9"/>
      <c r="T40" s="9"/>
      <c r="U40" s="9"/>
      <c r="V40" s="9"/>
      <c r="W40" s="9"/>
    </row>
    <row r="41" spans="1:29" x14ac:dyDescent="0.35">
      <c r="A41" s="16"/>
      <c r="B41" s="2" t="s">
        <v>19</v>
      </c>
      <c r="C41" s="10"/>
      <c r="D41" s="10"/>
      <c r="E41" s="10">
        <f>(E33-E31)/E31*100</f>
        <v>26600</v>
      </c>
      <c r="F41" s="10">
        <f>(F33-F31)/F31*100</f>
        <v>237.93103448275863</v>
      </c>
      <c r="G41" s="10">
        <f t="shared" ref="G41:H41" si="8">(G33-G31)/G31*100</f>
        <v>169.5</v>
      </c>
      <c r="H41" s="10">
        <f t="shared" si="8"/>
        <v>102.88808664259928</v>
      </c>
      <c r="R41" s="9"/>
      <c r="S41" s="9"/>
      <c r="T41" s="9"/>
      <c r="U41" s="9"/>
      <c r="V41" s="9"/>
      <c r="W41" s="9"/>
    </row>
    <row r="42" spans="1:29" x14ac:dyDescent="0.35">
      <c r="A42" s="16" t="s">
        <v>6</v>
      </c>
      <c r="B42" s="2" t="s">
        <v>17</v>
      </c>
      <c r="C42" s="10">
        <f>(C30-C29)/C29*100</f>
        <v>238.70967741935485</v>
      </c>
      <c r="D42" s="10">
        <f>(D30-D29)/D29*100</f>
        <v>218.01801801801801</v>
      </c>
      <c r="E42" s="10">
        <f>(E30-E29)/E29*100</f>
        <v>65.573770491803273</v>
      </c>
      <c r="F42" s="10">
        <f>(F30-F29)/F29*100</f>
        <v>100</v>
      </c>
      <c r="G42" s="10">
        <f t="shared" ref="G42:H42" si="9">(G30-G29)/G29*100</f>
        <v>73.563218390804593</v>
      </c>
      <c r="H42" s="10">
        <f t="shared" si="9"/>
        <v>17.272727272727273</v>
      </c>
      <c r="R42" s="9"/>
      <c r="S42" s="9"/>
      <c r="T42" s="9"/>
      <c r="U42" s="9"/>
      <c r="V42" s="9"/>
      <c r="W42" s="9"/>
    </row>
    <row r="43" spans="1:29" x14ac:dyDescent="0.35">
      <c r="A43" s="16"/>
      <c r="B43" s="2" t="s">
        <v>19</v>
      </c>
      <c r="C43" s="10">
        <f>(C33-C32)/C32*100</f>
        <v>676.74418604651157</v>
      </c>
      <c r="D43" s="10">
        <f>(D33-D32)/D32*100</f>
        <v>217.61006289308176</v>
      </c>
      <c r="E43" s="10">
        <f>(E33-E32)/E32*100</f>
        <v>67.924528301886795</v>
      </c>
      <c r="F43" s="10">
        <f>(F33-F32)/F32*100</f>
        <v>196.96969696969697</v>
      </c>
      <c r="G43" s="10">
        <f t="shared" ref="G43:H43" si="10">(G33-G32)/G32*100</f>
        <v>77.30263157894737</v>
      </c>
      <c r="H43" s="10">
        <f t="shared" si="10"/>
        <v>20.085470085470085</v>
      </c>
      <c r="R43" s="9"/>
      <c r="S43" s="9"/>
      <c r="T43" s="9"/>
      <c r="U43" s="9"/>
      <c r="V43" s="9"/>
      <c r="W43" s="9"/>
    </row>
    <row r="44" spans="1:29" x14ac:dyDescent="0.35">
      <c r="A44" s="6"/>
      <c r="B44" s="6"/>
    </row>
    <row r="46" spans="1:29" x14ac:dyDescent="0.35">
      <c r="C46" t="s">
        <v>23</v>
      </c>
    </row>
    <row r="48" spans="1:29" x14ac:dyDescent="0.35">
      <c r="A48" s="8" t="s">
        <v>21</v>
      </c>
      <c r="B48" s="8" t="s">
        <v>22</v>
      </c>
      <c r="C48" s="2" t="s">
        <v>3</v>
      </c>
      <c r="D48" s="2" t="s">
        <v>4</v>
      </c>
      <c r="E48" s="2" t="s">
        <v>5</v>
      </c>
    </row>
    <row r="49" spans="1:5" x14ac:dyDescent="0.35">
      <c r="A49" s="16" t="s">
        <v>7</v>
      </c>
      <c r="B49" s="2" t="s">
        <v>17</v>
      </c>
      <c r="C49" s="10"/>
      <c r="D49" s="10"/>
      <c r="E49" s="10">
        <f>(H28-E28)/E28*100</f>
        <v>26100</v>
      </c>
    </row>
    <row r="50" spans="1:5" x14ac:dyDescent="0.35">
      <c r="A50" s="16"/>
      <c r="B50" s="2" t="s">
        <v>19</v>
      </c>
      <c r="C50" s="10">
        <f>(F29-C29)/C29*100</f>
        <v>209.67741935483869</v>
      </c>
      <c r="D50" s="10">
        <f>(G29-D29)/D29*100</f>
        <v>135.13513513513513</v>
      </c>
      <c r="E50" s="10">
        <f t="shared" ref="E50:E54" si="11">(H29-E29)/E29*100</f>
        <v>80.327868852459019</v>
      </c>
    </row>
    <row r="51" spans="1:5" x14ac:dyDescent="0.35">
      <c r="A51" s="16" t="s">
        <v>6</v>
      </c>
      <c r="B51" s="2" t="s">
        <v>17</v>
      </c>
      <c r="C51" s="10">
        <f>(F30-C30)/C30*100</f>
        <v>82.857142857142861</v>
      </c>
      <c r="D51" s="10">
        <f>(G30-D30)/D30*100</f>
        <v>28.328611898016998</v>
      </c>
      <c r="E51" s="10">
        <f t="shared" si="11"/>
        <v>27.722772277227726</v>
      </c>
    </row>
    <row r="52" spans="1:5" x14ac:dyDescent="0.35">
      <c r="A52" s="16"/>
      <c r="B52" s="2" t="s">
        <v>19</v>
      </c>
      <c r="C52" s="10"/>
      <c r="D52" s="10"/>
      <c r="E52" s="10">
        <f>(H31-E31)/E31*100</f>
        <v>13750</v>
      </c>
    </row>
    <row r="53" spans="1:5" x14ac:dyDescent="0.35">
      <c r="A53" s="16" t="s">
        <v>18</v>
      </c>
      <c r="B53" s="2" t="s">
        <v>17</v>
      </c>
      <c r="C53" s="10">
        <f>(F32-C32)/C32*100</f>
        <v>206.97674418604652</v>
      </c>
      <c r="D53" s="10">
        <f>(G32-D32)/D32*100</f>
        <v>91.19496855345912</v>
      </c>
      <c r="E53" s="10">
        <f t="shared" si="11"/>
        <v>47.169811320754718</v>
      </c>
    </row>
    <row r="54" spans="1:5" x14ac:dyDescent="0.35">
      <c r="A54" s="16"/>
      <c r="B54" s="2" t="s">
        <v>19</v>
      </c>
      <c r="C54" s="10">
        <f>(F33-C33)/C33*100</f>
        <v>17.365269461077844</v>
      </c>
      <c r="D54" s="10">
        <f>(G33-D33)/D33*100</f>
        <v>6.7326732673267333</v>
      </c>
      <c r="E54" s="10">
        <f t="shared" si="11"/>
        <v>5.2434456928838955</v>
      </c>
    </row>
  </sheetData>
  <mergeCells count="40">
    <mergeCell ref="A9:C9"/>
    <mergeCell ref="D9:F9"/>
    <mergeCell ref="G9:I9"/>
    <mergeCell ref="J9:L9"/>
    <mergeCell ref="G15:I15"/>
    <mergeCell ref="J15:L15"/>
    <mergeCell ref="A14:L14"/>
    <mergeCell ref="A15:C15"/>
    <mergeCell ref="D15:F15"/>
    <mergeCell ref="A3:L3"/>
    <mergeCell ref="G4:I4"/>
    <mergeCell ref="J4:L4"/>
    <mergeCell ref="A8:L8"/>
    <mergeCell ref="A4:C4"/>
    <mergeCell ref="D4:F4"/>
    <mergeCell ref="N19:P19"/>
    <mergeCell ref="A20:C20"/>
    <mergeCell ref="D20:F20"/>
    <mergeCell ref="G20:I20"/>
    <mergeCell ref="J20:L20"/>
    <mergeCell ref="A19:L19"/>
    <mergeCell ref="C25:H25"/>
    <mergeCell ref="I25:N25"/>
    <mergeCell ref="B25:B27"/>
    <mergeCell ref="A25:A27"/>
    <mergeCell ref="A28:A30"/>
    <mergeCell ref="C26:E26"/>
    <mergeCell ref="F26:H26"/>
    <mergeCell ref="A31:A33"/>
    <mergeCell ref="I26:K26"/>
    <mergeCell ref="L26:N26"/>
    <mergeCell ref="A49:A50"/>
    <mergeCell ref="A51:A52"/>
    <mergeCell ref="A53:A54"/>
    <mergeCell ref="C38:E38"/>
    <mergeCell ref="F38:H38"/>
    <mergeCell ref="A40:A41"/>
    <mergeCell ref="A42:A43"/>
    <mergeCell ref="A38:A39"/>
    <mergeCell ref="B38:B3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0FE78-7FBF-404A-8FD0-6D59269E7833}">
  <dimension ref="A1:U66"/>
  <sheetViews>
    <sheetView workbookViewId="0">
      <selection activeCell="A2" sqref="A2"/>
    </sheetView>
  </sheetViews>
  <sheetFormatPr defaultRowHeight="14.5" x14ac:dyDescent="0.35"/>
  <sheetData>
    <row r="1" spans="1:21" x14ac:dyDescent="0.35">
      <c r="A1" t="s">
        <v>227</v>
      </c>
      <c r="B1" t="s">
        <v>228</v>
      </c>
      <c r="C1" t="s">
        <v>229</v>
      </c>
      <c r="D1" t="s">
        <v>111</v>
      </c>
      <c r="E1" t="s">
        <v>230</v>
      </c>
      <c r="F1" t="s">
        <v>231</v>
      </c>
      <c r="G1" t="s">
        <v>232</v>
      </c>
      <c r="H1" t="s">
        <v>233</v>
      </c>
      <c r="I1" t="s">
        <v>234</v>
      </c>
      <c r="J1" t="s">
        <v>235</v>
      </c>
      <c r="L1" t="s">
        <v>227</v>
      </c>
      <c r="M1" t="s">
        <v>228</v>
      </c>
      <c r="N1" t="s">
        <v>229</v>
      </c>
      <c r="O1" t="s">
        <v>111</v>
      </c>
      <c r="P1" t="s">
        <v>230</v>
      </c>
      <c r="Q1" t="s">
        <v>231</v>
      </c>
      <c r="R1" t="s">
        <v>232</v>
      </c>
      <c r="S1" t="s">
        <v>233</v>
      </c>
      <c r="T1" t="s">
        <v>234</v>
      </c>
      <c r="U1" t="s">
        <v>235</v>
      </c>
    </row>
    <row r="2" spans="1:21" x14ac:dyDescent="0.35">
      <c r="A2" s="5" t="s">
        <v>236</v>
      </c>
      <c r="B2" s="15">
        <v>9</v>
      </c>
      <c r="C2" s="15">
        <v>9</v>
      </c>
      <c r="D2" s="15">
        <v>2</v>
      </c>
      <c r="E2" s="15">
        <v>2</v>
      </c>
      <c r="F2" s="15">
        <v>9</v>
      </c>
      <c r="G2" s="15">
        <v>25</v>
      </c>
      <c r="H2">
        <v>9</v>
      </c>
      <c r="I2" s="15">
        <v>54</v>
      </c>
      <c r="J2" s="9">
        <f>G2/I2*100</f>
        <v>46.296296296296298</v>
      </c>
      <c r="L2" t="s">
        <v>236</v>
      </c>
      <c r="M2">
        <v>7</v>
      </c>
      <c r="N2">
        <v>7</v>
      </c>
      <c r="O2">
        <v>2</v>
      </c>
      <c r="P2">
        <v>2</v>
      </c>
      <c r="Q2">
        <v>9</v>
      </c>
      <c r="R2">
        <v>52</v>
      </c>
      <c r="S2">
        <v>7</v>
      </c>
      <c r="T2">
        <v>546</v>
      </c>
      <c r="U2" s="9">
        <f>R2/T2*100</f>
        <v>9.5238095238095237</v>
      </c>
    </row>
    <row r="3" spans="1:21" x14ac:dyDescent="0.35">
      <c r="A3" s="5" t="s">
        <v>237</v>
      </c>
      <c r="B3" s="15">
        <v>8</v>
      </c>
      <c r="C3" s="15">
        <v>8</v>
      </c>
      <c r="D3" s="15">
        <v>2</v>
      </c>
      <c r="E3" s="15">
        <v>2</v>
      </c>
      <c r="F3" s="15">
        <v>8</v>
      </c>
      <c r="G3" s="15">
        <v>21</v>
      </c>
      <c r="H3">
        <v>8</v>
      </c>
      <c r="I3" s="15">
        <v>222</v>
      </c>
      <c r="J3" s="9">
        <f t="shared" ref="J3:J29" si="0">G3/I3*100</f>
        <v>9.4594594594594597</v>
      </c>
      <c r="L3" t="s">
        <v>237</v>
      </c>
      <c r="M3">
        <v>6</v>
      </c>
      <c r="N3">
        <v>6</v>
      </c>
      <c r="O3">
        <v>2</v>
      </c>
      <c r="P3">
        <v>2</v>
      </c>
      <c r="Q3">
        <v>8</v>
      </c>
      <c r="R3">
        <v>31</v>
      </c>
      <c r="S3">
        <v>6</v>
      </c>
      <c r="T3">
        <v>887</v>
      </c>
      <c r="U3" s="9">
        <f t="shared" ref="U3:U30" si="1">R3/T3*100</f>
        <v>3.494926719278467</v>
      </c>
    </row>
    <row r="4" spans="1:21" x14ac:dyDescent="0.35">
      <c r="A4" s="5" t="s">
        <v>238</v>
      </c>
      <c r="B4" s="15">
        <v>9</v>
      </c>
      <c r="C4" s="15">
        <v>9</v>
      </c>
      <c r="D4" s="15">
        <v>1</v>
      </c>
      <c r="E4" s="15">
        <v>1</v>
      </c>
      <c r="F4" s="15">
        <v>9</v>
      </c>
      <c r="G4" s="15">
        <v>688</v>
      </c>
      <c r="H4">
        <v>9</v>
      </c>
      <c r="I4" s="15">
        <v>1212</v>
      </c>
      <c r="J4" s="9">
        <f t="shared" si="0"/>
        <v>56.765676567656762</v>
      </c>
      <c r="L4" t="s">
        <v>238</v>
      </c>
      <c r="M4">
        <v>6</v>
      </c>
      <c r="N4">
        <v>6</v>
      </c>
      <c r="O4">
        <v>1</v>
      </c>
      <c r="P4">
        <v>1</v>
      </c>
      <c r="Q4">
        <v>9</v>
      </c>
      <c r="R4">
        <v>1136</v>
      </c>
      <c r="S4">
        <v>9</v>
      </c>
      <c r="T4">
        <v>2970</v>
      </c>
      <c r="U4" s="9">
        <f t="shared" si="1"/>
        <v>38.249158249158249</v>
      </c>
    </row>
    <row r="5" spans="1:21" x14ac:dyDescent="0.35">
      <c r="A5" s="5" t="s">
        <v>239</v>
      </c>
      <c r="B5" s="15">
        <v>4</v>
      </c>
      <c r="C5" s="15">
        <v>4</v>
      </c>
      <c r="D5" s="15">
        <v>1</v>
      </c>
      <c r="E5" s="15">
        <v>1</v>
      </c>
      <c r="F5" s="15">
        <v>6</v>
      </c>
      <c r="G5" s="15">
        <v>121</v>
      </c>
      <c r="H5">
        <v>6</v>
      </c>
      <c r="I5" s="15">
        <v>170</v>
      </c>
      <c r="J5" s="9">
        <f t="shared" si="0"/>
        <v>71.17647058823529</v>
      </c>
      <c r="L5" t="s">
        <v>239</v>
      </c>
      <c r="M5">
        <v>3</v>
      </c>
      <c r="N5">
        <v>3</v>
      </c>
      <c r="O5">
        <v>1</v>
      </c>
      <c r="P5">
        <v>1</v>
      </c>
      <c r="Q5">
        <v>6</v>
      </c>
      <c r="R5">
        <v>147</v>
      </c>
      <c r="S5">
        <v>6</v>
      </c>
      <c r="T5">
        <v>425</v>
      </c>
      <c r="U5" s="9">
        <f t="shared" si="1"/>
        <v>34.588235294117645</v>
      </c>
    </row>
    <row r="6" spans="1:21" x14ac:dyDescent="0.35">
      <c r="A6" s="5" t="s">
        <v>240</v>
      </c>
      <c r="B6" s="15">
        <v>28</v>
      </c>
      <c r="C6" s="15">
        <v>28</v>
      </c>
      <c r="D6" s="15">
        <v>3</v>
      </c>
      <c r="E6" s="15">
        <v>3</v>
      </c>
      <c r="F6" s="15">
        <v>29</v>
      </c>
      <c r="G6" s="15">
        <v>1598</v>
      </c>
      <c r="H6">
        <v>28</v>
      </c>
      <c r="I6" s="15">
        <v>2040</v>
      </c>
      <c r="J6" s="9">
        <f t="shared" si="0"/>
        <v>78.333333333333329</v>
      </c>
      <c r="L6" t="s">
        <v>240</v>
      </c>
      <c r="M6">
        <v>20</v>
      </c>
      <c r="N6">
        <v>20</v>
      </c>
      <c r="O6">
        <v>7</v>
      </c>
      <c r="P6">
        <v>7</v>
      </c>
      <c r="Q6">
        <v>29</v>
      </c>
      <c r="R6">
        <v>4852</v>
      </c>
      <c r="S6">
        <v>27</v>
      </c>
      <c r="T6">
        <v>11988</v>
      </c>
      <c r="U6" s="9">
        <f t="shared" si="1"/>
        <v>40.473807140473802</v>
      </c>
    </row>
    <row r="7" spans="1:21" x14ac:dyDescent="0.35">
      <c r="A7" s="5" t="s">
        <v>241</v>
      </c>
      <c r="B7" s="15">
        <v>34</v>
      </c>
      <c r="C7" s="15">
        <v>34</v>
      </c>
      <c r="D7" s="15">
        <v>4</v>
      </c>
      <c r="E7" s="15">
        <v>4</v>
      </c>
      <c r="F7" s="15">
        <v>37</v>
      </c>
      <c r="G7" s="15">
        <v>2289</v>
      </c>
      <c r="H7">
        <v>35</v>
      </c>
      <c r="I7" s="15">
        <v>2670</v>
      </c>
      <c r="J7" s="9">
        <f t="shared" si="0"/>
        <v>85.730337078651687</v>
      </c>
      <c r="L7" t="s">
        <v>241</v>
      </c>
      <c r="M7">
        <v>26</v>
      </c>
      <c r="N7">
        <v>26</v>
      </c>
      <c r="O7">
        <v>8</v>
      </c>
      <c r="P7">
        <v>8</v>
      </c>
      <c r="Q7">
        <v>36</v>
      </c>
      <c r="R7">
        <v>4011</v>
      </c>
      <c r="S7">
        <v>33</v>
      </c>
      <c r="T7">
        <v>9821</v>
      </c>
      <c r="U7" s="9">
        <f t="shared" si="1"/>
        <v>40.841054882394864</v>
      </c>
    </row>
    <row r="8" spans="1:21" x14ac:dyDescent="0.35">
      <c r="A8" s="5" t="s">
        <v>242</v>
      </c>
      <c r="B8" s="15">
        <v>27</v>
      </c>
      <c r="C8" s="15">
        <v>27</v>
      </c>
      <c r="D8" s="15">
        <v>2</v>
      </c>
      <c r="E8" s="15">
        <v>2</v>
      </c>
      <c r="F8" s="15">
        <v>28</v>
      </c>
      <c r="G8" s="15">
        <v>1686</v>
      </c>
      <c r="H8">
        <v>28</v>
      </c>
      <c r="I8" s="15">
        <v>1974</v>
      </c>
      <c r="J8" s="9">
        <f t="shared" si="0"/>
        <v>85.410334346504555</v>
      </c>
      <c r="L8" t="s">
        <v>242</v>
      </c>
      <c r="M8">
        <v>24</v>
      </c>
      <c r="N8">
        <v>24</v>
      </c>
      <c r="O8">
        <v>4</v>
      </c>
      <c r="P8">
        <v>4</v>
      </c>
      <c r="Q8">
        <v>28</v>
      </c>
      <c r="R8">
        <v>3052</v>
      </c>
      <c r="S8">
        <v>28</v>
      </c>
      <c r="T8">
        <v>6907</v>
      </c>
      <c r="U8" s="9">
        <f t="shared" si="1"/>
        <v>44.187056609237004</v>
      </c>
    </row>
    <row r="9" spans="1:21" x14ac:dyDescent="0.35">
      <c r="A9" s="5" t="s">
        <v>243</v>
      </c>
      <c r="B9" s="15">
        <v>42</v>
      </c>
      <c r="C9" s="15">
        <v>42</v>
      </c>
      <c r="D9" s="15">
        <v>11</v>
      </c>
      <c r="E9" s="15">
        <v>11</v>
      </c>
      <c r="F9" s="15">
        <v>48</v>
      </c>
      <c r="G9" s="15">
        <v>1135</v>
      </c>
      <c r="H9">
        <v>44</v>
      </c>
      <c r="I9" s="15">
        <v>2318</v>
      </c>
      <c r="J9" s="9">
        <f t="shared" si="0"/>
        <v>48.964624676445212</v>
      </c>
      <c r="L9" t="s">
        <v>243</v>
      </c>
      <c r="M9">
        <v>35</v>
      </c>
      <c r="N9">
        <v>35</v>
      </c>
      <c r="O9">
        <v>13</v>
      </c>
      <c r="P9">
        <v>13</v>
      </c>
      <c r="Q9">
        <v>51</v>
      </c>
      <c r="R9">
        <v>4568</v>
      </c>
      <c r="S9">
        <v>43</v>
      </c>
      <c r="T9">
        <v>32116</v>
      </c>
      <c r="U9" s="9">
        <f t="shared" si="1"/>
        <v>14.223440029891643</v>
      </c>
    </row>
    <row r="10" spans="1:21" x14ac:dyDescent="0.35">
      <c r="A10" s="5" t="s">
        <v>244</v>
      </c>
      <c r="B10" s="15">
        <v>58</v>
      </c>
      <c r="C10" s="15">
        <v>58</v>
      </c>
      <c r="D10" s="15">
        <v>15</v>
      </c>
      <c r="E10" s="15">
        <v>15</v>
      </c>
      <c r="F10" s="15">
        <v>61</v>
      </c>
      <c r="G10" s="15">
        <v>1668</v>
      </c>
      <c r="H10">
        <v>59</v>
      </c>
      <c r="I10" s="15">
        <v>2794</v>
      </c>
      <c r="J10" s="9">
        <f t="shared" si="0"/>
        <v>59.699355762347885</v>
      </c>
      <c r="L10" t="s">
        <v>244</v>
      </c>
      <c r="M10">
        <v>38</v>
      </c>
      <c r="N10">
        <v>38</v>
      </c>
      <c r="O10">
        <v>19</v>
      </c>
      <c r="P10">
        <v>19</v>
      </c>
      <c r="Q10">
        <v>61</v>
      </c>
      <c r="R10">
        <v>7663</v>
      </c>
      <c r="S10">
        <v>56</v>
      </c>
      <c r="T10">
        <v>42101</v>
      </c>
      <c r="U10" s="9">
        <f t="shared" si="1"/>
        <v>18.201467898624735</v>
      </c>
    </row>
    <row r="11" spans="1:21" x14ac:dyDescent="0.35">
      <c r="A11" s="5" t="s">
        <v>245</v>
      </c>
      <c r="B11" s="15">
        <v>7</v>
      </c>
      <c r="C11" s="15">
        <v>7</v>
      </c>
      <c r="D11" s="15">
        <v>3</v>
      </c>
      <c r="E11" s="15">
        <v>3</v>
      </c>
      <c r="F11" s="15">
        <v>8</v>
      </c>
      <c r="G11" s="15">
        <v>395</v>
      </c>
      <c r="H11">
        <v>7</v>
      </c>
      <c r="I11" s="15">
        <v>657</v>
      </c>
      <c r="J11" s="9">
        <f t="shared" si="0"/>
        <v>60.12176560121766</v>
      </c>
      <c r="L11" t="s">
        <v>245</v>
      </c>
      <c r="M11">
        <v>4</v>
      </c>
      <c r="N11">
        <v>4</v>
      </c>
      <c r="O11">
        <v>2</v>
      </c>
      <c r="P11">
        <v>2</v>
      </c>
      <c r="Q11">
        <v>8</v>
      </c>
      <c r="R11">
        <v>436</v>
      </c>
      <c r="S11">
        <v>7</v>
      </c>
      <c r="T11">
        <v>1589</v>
      </c>
      <c r="U11" s="9">
        <f t="shared" si="1"/>
        <v>27.438640654499686</v>
      </c>
    </row>
    <row r="12" spans="1:21" x14ac:dyDescent="0.35">
      <c r="A12" s="5" t="s">
        <v>246</v>
      </c>
      <c r="B12" s="15">
        <v>16</v>
      </c>
      <c r="C12" s="15">
        <v>16</v>
      </c>
      <c r="D12" s="15">
        <v>6</v>
      </c>
      <c r="E12" s="15">
        <v>6</v>
      </c>
      <c r="F12" s="15">
        <v>20</v>
      </c>
      <c r="G12" s="15">
        <v>516</v>
      </c>
      <c r="H12">
        <v>19</v>
      </c>
      <c r="I12" s="15">
        <v>1061</v>
      </c>
      <c r="J12" s="9">
        <f t="shared" si="0"/>
        <v>48.633364750235621</v>
      </c>
      <c r="L12" t="s">
        <v>246</v>
      </c>
      <c r="M12">
        <v>14</v>
      </c>
      <c r="N12">
        <v>14</v>
      </c>
      <c r="O12">
        <v>6</v>
      </c>
      <c r="P12">
        <v>6</v>
      </c>
      <c r="Q12">
        <v>21</v>
      </c>
      <c r="R12">
        <v>892</v>
      </c>
      <c r="S12">
        <v>18</v>
      </c>
      <c r="T12">
        <v>7923</v>
      </c>
      <c r="U12" s="9">
        <f t="shared" si="1"/>
        <v>11.258361731667298</v>
      </c>
    </row>
    <row r="13" spans="1:21" x14ac:dyDescent="0.35">
      <c r="A13" s="5" t="s">
        <v>247</v>
      </c>
      <c r="B13" s="15">
        <v>9</v>
      </c>
      <c r="C13" s="15">
        <v>9</v>
      </c>
      <c r="D13" s="15">
        <v>2</v>
      </c>
      <c r="E13" s="15">
        <v>2</v>
      </c>
      <c r="F13" s="15">
        <v>9</v>
      </c>
      <c r="G13" s="15">
        <v>277</v>
      </c>
      <c r="H13">
        <v>9</v>
      </c>
      <c r="I13" s="15">
        <v>708</v>
      </c>
      <c r="J13" s="9">
        <f t="shared" si="0"/>
        <v>39.124293785310734</v>
      </c>
      <c r="L13" t="s">
        <v>247</v>
      </c>
      <c r="M13">
        <v>5</v>
      </c>
      <c r="N13">
        <v>5</v>
      </c>
      <c r="O13">
        <v>2</v>
      </c>
      <c r="P13">
        <v>2</v>
      </c>
      <c r="Q13">
        <v>9</v>
      </c>
      <c r="R13">
        <v>1175</v>
      </c>
      <c r="S13">
        <v>9</v>
      </c>
      <c r="T13">
        <v>4614</v>
      </c>
      <c r="U13" s="9">
        <f t="shared" si="1"/>
        <v>25.465973125270914</v>
      </c>
    </row>
    <row r="14" spans="1:21" x14ac:dyDescent="0.35">
      <c r="A14" s="5" t="s">
        <v>248</v>
      </c>
      <c r="B14" s="15">
        <v>14</v>
      </c>
      <c r="C14" s="15">
        <v>14</v>
      </c>
      <c r="D14" s="15">
        <v>5</v>
      </c>
      <c r="E14" s="15">
        <v>5</v>
      </c>
      <c r="F14" s="15">
        <v>15</v>
      </c>
      <c r="G14" s="15">
        <v>269</v>
      </c>
      <c r="H14">
        <v>15</v>
      </c>
      <c r="I14" s="15">
        <v>790</v>
      </c>
      <c r="J14" s="9">
        <f t="shared" si="0"/>
        <v>34.050632911392405</v>
      </c>
      <c r="L14" t="s">
        <v>248</v>
      </c>
      <c r="M14">
        <v>7</v>
      </c>
      <c r="N14">
        <v>7</v>
      </c>
      <c r="O14">
        <v>5</v>
      </c>
      <c r="P14">
        <v>5</v>
      </c>
      <c r="Q14">
        <v>15</v>
      </c>
      <c r="R14">
        <v>512</v>
      </c>
      <c r="S14">
        <v>14</v>
      </c>
      <c r="T14">
        <v>3096</v>
      </c>
      <c r="U14" s="9">
        <f t="shared" si="1"/>
        <v>16.5374677002584</v>
      </c>
    </row>
    <row r="15" spans="1:21" x14ac:dyDescent="0.35">
      <c r="A15" s="5" t="s">
        <v>249</v>
      </c>
      <c r="B15" s="15">
        <v>10</v>
      </c>
      <c r="C15" s="15">
        <v>10</v>
      </c>
      <c r="D15" s="15">
        <v>3</v>
      </c>
      <c r="E15" s="15">
        <v>3</v>
      </c>
      <c r="F15" s="15">
        <v>10</v>
      </c>
      <c r="G15" s="15">
        <v>20</v>
      </c>
      <c r="H15">
        <v>10</v>
      </c>
      <c r="I15" s="15">
        <v>452</v>
      </c>
      <c r="J15" s="9">
        <f t="shared" si="0"/>
        <v>4.4247787610619467</v>
      </c>
      <c r="L15" t="s">
        <v>249</v>
      </c>
      <c r="M15">
        <v>7</v>
      </c>
      <c r="N15">
        <v>7</v>
      </c>
      <c r="O15">
        <v>3</v>
      </c>
      <c r="P15">
        <v>3</v>
      </c>
      <c r="Q15">
        <v>10</v>
      </c>
      <c r="R15">
        <v>14</v>
      </c>
      <c r="S15">
        <v>7</v>
      </c>
      <c r="T15">
        <v>1710</v>
      </c>
      <c r="U15" s="9">
        <f t="shared" si="1"/>
        <v>0.81871345029239773</v>
      </c>
    </row>
    <row r="16" spans="1:21" x14ac:dyDescent="0.35">
      <c r="A16" s="5" t="s">
        <v>250</v>
      </c>
      <c r="B16" s="15">
        <v>7</v>
      </c>
      <c r="C16" s="15">
        <v>7</v>
      </c>
      <c r="D16" s="15">
        <v>1</v>
      </c>
      <c r="E16" s="15">
        <v>1</v>
      </c>
      <c r="F16" s="15">
        <v>8</v>
      </c>
      <c r="G16" s="15">
        <v>113</v>
      </c>
      <c r="H16">
        <v>8</v>
      </c>
      <c r="I16" s="15">
        <v>163</v>
      </c>
      <c r="J16" s="9">
        <f t="shared" si="0"/>
        <v>69.325153374233125</v>
      </c>
      <c r="L16" t="s">
        <v>250</v>
      </c>
      <c r="M16">
        <v>1</v>
      </c>
      <c r="N16">
        <v>1</v>
      </c>
      <c r="O16">
        <v>1</v>
      </c>
      <c r="P16">
        <v>1</v>
      </c>
      <c r="Q16">
        <v>7</v>
      </c>
      <c r="R16">
        <v>214</v>
      </c>
      <c r="S16">
        <v>7</v>
      </c>
      <c r="T16">
        <v>602</v>
      </c>
      <c r="U16" s="9">
        <f t="shared" si="1"/>
        <v>35.548172757475086</v>
      </c>
    </row>
    <row r="17" spans="1:21" x14ac:dyDescent="0.35">
      <c r="A17" s="5" t="s">
        <v>251</v>
      </c>
      <c r="B17" s="15">
        <v>19</v>
      </c>
      <c r="C17" s="15">
        <v>19</v>
      </c>
      <c r="D17" s="15">
        <v>5</v>
      </c>
      <c r="E17" s="15">
        <v>5</v>
      </c>
      <c r="F17" s="15">
        <v>20</v>
      </c>
      <c r="G17" s="15">
        <v>2238</v>
      </c>
      <c r="H17">
        <v>19</v>
      </c>
      <c r="I17" s="15">
        <v>4392</v>
      </c>
      <c r="J17" s="9">
        <f t="shared" si="0"/>
        <v>50.956284153005463</v>
      </c>
      <c r="L17" t="s">
        <v>251</v>
      </c>
      <c r="M17">
        <v>15</v>
      </c>
      <c r="N17">
        <v>15</v>
      </c>
      <c r="O17">
        <v>5</v>
      </c>
      <c r="P17">
        <v>5</v>
      </c>
      <c r="Q17">
        <v>20</v>
      </c>
      <c r="R17">
        <v>1520</v>
      </c>
      <c r="S17">
        <v>18</v>
      </c>
      <c r="T17">
        <v>7989</v>
      </c>
      <c r="U17" s="9">
        <f t="shared" si="1"/>
        <v>19.026160971335589</v>
      </c>
    </row>
    <row r="18" spans="1:21" x14ac:dyDescent="0.35">
      <c r="A18" s="5" t="s">
        <v>252</v>
      </c>
      <c r="B18" s="15">
        <v>14</v>
      </c>
      <c r="C18" s="15">
        <v>14</v>
      </c>
      <c r="D18" s="15">
        <v>5</v>
      </c>
      <c r="E18" s="15">
        <v>5</v>
      </c>
      <c r="F18" s="15">
        <v>14</v>
      </c>
      <c r="G18" s="15">
        <v>302</v>
      </c>
      <c r="H18">
        <v>14</v>
      </c>
      <c r="I18" s="15">
        <v>406</v>
      </c>
      <c r="J18" s="9">
        <f t="shared" si="0"/>
        <v>74.384236453201964</v>
      </c>
      <c r="L18" t="s">
        <v>252</v>
      </c>
      <c r="M18">
        <v>9</v>
      </c>
      <c r="N18">
        <v>9</v>
      </c>
      <c r="O18">
        <v>3</v>
      </c>
      <c r="P18">
        <v>3</v>
      </c>
      <c r="Q18">
        <v>14</v>
      </c>
      <c r="R18">
        <v>353</v>
      </c>
      <c r="S18">
        <v>12</v>
      </c>
      <c r="T18">
        <v>1721</v>
      </c>
      <c r="U18" s="9">
        <f t="shared" si="1"/>
        <v>20.511330621731553</v>
      </c>
    </row>
    <row r="19" spans="1:21" x14ac:dyDescent="0.35">
      <c r="A19" s="5" t="s">
        <v>253</v>
      </c>
      <c r="B19" s="15">
        <v>8</v>
      </c>
      <c r="C19" s="15">
        <v>8</v>
      </c>
      <c r="D19" s="15">
        <v>8</v>
      </c>
      <c r="E19" s="15">
        <v>8</v>
      </c>
      <c r="F19" s="15">
        <v>16</v>
      </c>
      <c r="G19" s="15">
        <v>16</v>
      </c>
      <c r="H19">
        <v>8</v>
      </c>
      <c r="I19" s="15">
        <v>128</v>
      </c>
      <c r="J19" s="9">
        <f t="shared" si="0"/>
        <v>12.5</v>
      </c>
      <c r="L19" t="s">
        <v>253</v>
      </c>
      <c r="M19">
        <v>8</v>
      </c>
      <c r="N19">
        <v>8</v>
      </c>
      <c r="O19">
        <v>8</v>
      </c>
      <c r="P19">
        <v>8</v>
      </c>
      <c r="Q19">
        <v>16</v>
      </c>
      <c r="R19">
        <v>16</v>
      </c>
      <c r="S19">
        <v>8</v>
      </c>
      <c r="T19">
        <v>2632</v>
      </c>
      <c r="U19" s="9">
        <f t="shared" si="1"/>
        <v>0.60790273556231</v>
      </c>
    </row>
    <row r="20" spans="1:21" x14ac:dyDescent="0.35">
      <c r="A20" s="5" t="s">
        <v>254</v>
      </c>
      <c r="B20" s="15">
        <v>9</v>
      </c>
      <c r="C20" s="15">
        <v>9</v>
      </c>
      <c r="D20" s="15">
        <v>3</v>
      </c>
      <c r="E20" s="15">
        <v>3</v>
      </c>
      <c r="F20" s="15">
        <v>12</v>
      </c>
      <c r="G20" s="15">
        <v>162</v>
      </c>
      <c r="H20">
        <v>10</v>
      </c>
      <c r="I20" s="15">
        <v>573</v>
      </c>
      <c r="J20" s="9">
        <f t="shared" si="0"/>
        <v>28.272251308900525</v>
      </c>
      <c r="L20" t="s">
        <v>254</v>
      </c>
      <c r="M20">
        <v>7</v>
      </c>
      <c r="N20">
        <v>7</v>
      </c>
      <c r="O20">
        <v>3</v>
      </c>
      <c r="P20">
        <v>3</v>
      </c>
      <c r="Q20">
        <v>12</v>
      </c>
      <c r="R20">
        <v>217</v>
      </c>
      <c r="S20">
        <v>10</v>
      </c>
      <c r="T20">
        <v>2383</v>
      </c>
      <c r="U20" s="9">
        <f t="shared" si="1"/>
        <v>9.1061686949223652</v>
      </c>
    </row>
    <row r="21" spans="1:21" x14ac:dyDescent="0.35">
      <c r="A21" s="5" t="s">
        <v>255</v>
      </c>
      <c r="B21" s="15">
        <v>29</v>
      </c>
      <c r="C21" s="15">
        <v>29</v>
      </c>
      <c r="D21" s="15">
        <v>3</v>
      </c>
      <c r="E21" s="15">
        <v>3</v>
      </c>
      <c r="F21" s="15">
        <v>31</v>
      </c>
      <c r="G21" s="15">
        <v>2333</v>
      </c>
      <c r="H21">
        <v>31</v>
      </c>
      <c r="I21" s="15">
        <v>3628</v>
      </c>
      <c r="J21" s="9">
        <f t="shared" si="0"/>
        <v>64.305402425578833</v>
      </c>
      <c r="L21" t="s">
        <v>255</v>
      </c>
      <c r="M21">
        <v>26</v>
      </c>
      <c r="N21">
        <v>26</v>
      </c>
      <c r="O21">
        <v>3</v>
      </c>
      <c r="P21">
        <v>3</v>
      </c>
      <c r="Q21">
        <v>33</v>
      </c>
      <c r="R21">
        <v>4039</v>
      </c>
      <c r="S21">
        <v>33</v>
      </c>
      <c r="T21">
        <v>16474</v>
      </c>
      <c r="U21" s="9">
        <f t="shared" si="1"/>
        <v>24.517421391283236</v>
      </c>
    </row>
    <row r="22" spans="1:21" x14ac:dyDescent="0.35">
      <c r="A22" s="5" t="s">
        <v>256</v>
      </c>
      <c r="B22" s="15">
        <v>31</v>
      </c>
      <c r="C22" s="15">
        <v>31</v>
      </c>
      <c r="D22" s="15">
        <v>5</v>
      </c>
      <c r="E22" s="15">
        <v>5</v>
      </c>
      <c r="F22" s="15">
        <v>35</v>
      </c>
      <c r="G22" s="15">
        <v>3077</v>
      </c>
      <c r="H22">
        <v>33</v>
      </c>
      <c r="I22" s="15">
        <v>4194</v>
      </c>
      <c r="J22" s="9">
        <f t="shared" si="0"/>
        <v>73.366714353838816</v>
      </c>
      <c r="L22" t="s">
        <v>256</v>
      </c>
      <c r="M22">
        <v>27</v>
      </c>
      <c r="N22">
        <v>27</v>
      </c>
      <c r="O22">
        <v>4</v>
      </c>
      <c r="P22">
        <v>4</v>
      </c>
      <c r="Q22">
        <v>36</v>
      </c>
      <c r="R22">
        <v>5809</v>
      </c>
      <c r="S22">
        <v>34</v>
      </c>
      <c r="T22">
        <v>17848</v>
      </c>
      <c r="U22" s="9">
        <f t="shared" si="1"/>
        <v>32.547064096817572</v>
      </c>
    </row>
    <row r="23" spans="1:21" x14ac:dyDescent="0.35">
      <c r="A23" s="5" t="s">
        <v>257</v>
      </c>
      <c r="B23" s="15">
        <v>4</v>
      </c>
      <c r="C23" s="15">
        <v>4</v>
      </c>
      <c r="D23" s="15">
        <v>1</v>
      </c>
      <c r="E23" s="15">
        <v>1</v>
      </c>
      <c r="F23" s="15">
        <v>4</v>
      </c>
      <c r="G23" s="15">
        <v>8</v>
      </c>
      <c r="H23">
        <v>4</v>
      </c>
      <c r="I23" s="15">
        <v>67</v>
      </c>
      <c r="J23" s="9">
        <f t="shared" si="0"/>
        <v>11.940298507462686</v>
      </c>
      <c r="L23" t="s">
        <v>257</v>
      </c>
      <c r="M23">
        <v>2</v>
      </c>
      <c r="N23">
        <v>2</v>
      </c>
      <c r="O23">
        <v>1</v>
      </c>
      <c r="P23">
        <v>1</v>
      </c>
      <c r="Q23">
        <v>3</v>
      </c>
      <c r="R23">
        <v>4</v>
      </c>
      <c r="S23">
        <v>2</v>
      </c>
      <c r="T23">
        <v>455</v>
      </c>
      <c r="U23" s="9">
        <f t="shared" si="1"/>
        <v>0.87912087912087911</v>
      </c>
    </row>
    <row r="24" spans="1:21" x14ac:dyDescent="0.35">
      <c r="A24" s="5" t="s">
        <v>258</v>
      </c>
      <c r="B24" s="15">
        <v>31</v>
      </c>
      <c r="C24" s="15">
        <v>31</v>
      </c>
      <c r="D24" s="15">
        <v>11</v>
      </c>
      <c r="E24" s="15">
        <v>11</v>
      </c>
      <c r="F24" s="15">
        <v>33</v>
      </c>
      <c r="G24" s="15">
        <v>4501</v>
      </c>
      <c r="H24">
        <v>33</v>
      </c>
      <c r="I24" s="15">
        <v>5410</v>
      </c>
      <c r="J24" s="9">
        <f t="shared" si="0"/>
        <v>83.197781885397418</v>
      </c>
      <c r="L24" t="s">
        <v>258</v>
      </c>
      <c r="M24">
        <v>21</v>
      </c>
      <c r="N24">
        <v>21</v>
      </c>
      <c r="O24">
        <v>12</v>
      </c>
      <c r="P24">
        <v>12</v>
      </c>
      <c r="Q24">
        <v>33</v>
      </c>
      <c r="R24">
        <v>7778</v>
      </c>
      <c r="S24">
        <v>33</v>
      </c>
      <c r="T24">
        <v>18976</v>
      </c>
      <c r="U24" s="9">
        <f t="shared" si="1"/>
        <v>40.98861720067454</v>
      </c>
    </row>
    <row r="25" spans="1:21" x14ac:dyDescent="0.35">
      <c r="A25" s="5" t="s">
        <v>259</v>
      </c>
      <c r="B25" s="15">
        <v>26</v>
      </c>
      <c r="C25" s="15">
        <v>26</v>
      </c>
      <c r="D25" s="15">
        <v>4</v>
      </c>
      <c r="E25" s="15">
        <v>4</v>
      </c>
      <c r="F25" s="15">
        <v>26</v>
      </c>
      <c r="G25" s="15">
        <v>2951</v>
      </c>
      <c r="H25">
        <v>26</v>
      </c>
      <c r="I25" s="15">
        <v>3245</v>
      </c>
      <c r="J25" s="9">
        <f t="shared" si="0"/>
        <v>90.939907550077038</v>
      </c>
      <c r="L25" t="s">
        <v>259</v>
      </c>
      <c r="M25">
        <v>16</v>
      </c>
      <c r="N25">
        <v>16</v>
      </c>
      <c r="O25">
        <v>5</v>
      </c>
      <c r="P25">
        <v>5</v>
      </c>
      <c r="Q25">
        <v>26</v>
      </c>
      <c r="R25">
        <v>12310</v>
      </c>
      <c r="S25">
        <v>26</v>
      </c>
      <c r="T25">
        <v>21390</v>
      </c>
      <c r="U25" s="9">
        <f t="shared" si="1"/>
        <v>57.550257129499769</v>
      </c>
    </row>
    <row r="26" spans="1:21" x14ac:dyDescent="0.35">
      <c r="A26" s="5" t="s">
        <v>260</v>
      </c>
      <c r="B26" s="15">
        <v>44</v>
      </c>
      <c r="C26" s="15">
        <v>44</v>
      </c>
      <c r="D26" s="15">
        <v>2</v>
      </c>
      <c r="E26" s="15">
        <v>2</v>
      </c>
      <c r="F26" s="15">
        <v>45</v>
      </c>
      <c r="G26" s="15">
        <v>2667</v>
      </c>
      <c r="H26">
        <v>45</v>
      </c>
      <c r="I26" s="15">
        <v>5441</v>
      </c>
      <c r="J26" s="9">
        <f t="shared" si="0"/>
        <v>49.01672486675244</v>
      </c>
      <c r="L26" t="s">
        <v>260</v>
      </c>
      <c r="M26">
        <v>41</v>
      </c>
      <c r="N26">
        <v>41</v>
      </c>
      <c r="O26">
        <v>2</v>
      </c>
      <c r="P26">
        <v>2</v>
      </c>
      <c r="Q26">
        <v>45</v>
      </c>
      <c r="R26">
        <v>5292</v>
      </c>
      <c r="S26">
        <v>44</v>
      </c>
      <c r="T26">
        <v>21805</v>
      </c>
      <c r="U26" s="9">
        <f t="shared" si="1"/>
        <v>24.269662921348313</v>
      </c>
    </row>
    <row r="27" spans="1:21" x14ac:dyDescent="0.35">
      <c r="A27" s="5" t="s">
        <v>261</v>
      </c>
      <c r="B27" s="15">
        <v>15</v>
      </c>
      <c r="C27" s="15">
        <v>15</v>
      </c>
      <c r="D27" s="15">
        <v>0</v>
      </c>
      <c r="E27" s="15">
        <v>0</v>
      </c>
      <c r="F27" s="15">
        <v>16</v>
      </c>
      <c r="G27" s="15">
        <v>1168</v>
      </c>
      <c r="H27">
        <v>16</v>
      </c>
      <c r="I27" s="15">
        <v>1219</v>
      </c>
      <c r="J27" s="9">
        <f t="shared" si="0"/>
        <v>95.816242821985227</v>
      </c>
      <c r="L27" t="s">
        <v>261</v>
      </c>
      <c r="M27">
        <v>16</v>
      </c>
      <c r="N27">
        <v>16</v>
      </c>
      <c r="O27">
        <v>1</v>
      </c>
      <c r="P27">
        <v>1</v>
      </c>
      <c r="Q27">
        <v>17</v>
      </c>
      <c r="R27">
        <v>3723</v>
      </c>
      <c r="S27">
        <v>16</v>
      </c>
      <c r="T27">
        <v>7287</v>
      </c>
      <c r="U27" s="9">
        <f t="shared" si="1"/>
        <v>51.090983944009885</v>
      </c>
    </row>
    <row r="28" spans="1:21" x14ac:dyDescent="0.35">
      <c r="A28" s="5" t="s">
        <v>262</v>
      </c>
      <c r="B28" s="15">
        <v>23</v>
      </c>
      <c r="C28" s="15">
        <v>23</v>
      </c>
      <c r="D28" s="15">
        <v>5</v>
      </c>
      <c r="E28" s="15">
        <v>5</v>
      </c>
      <c r="F28" s="15">
        <v>23</v>
      </c>
      <c r="G28" s="15">
        <v>3178</v>
      </c>
      <c r="H28">
        <v>23</v>
      </c>
      <c r="I28" s="15">
        <v>7720</v>
      </c>
      <c r="J28" s="9">
        <f t="shared" si="0"/>
        <v>41.165803108808291</v>
      </c>
      <c r="L28" t="s">
        <v>262</v>
      </c>
      <c r="M28">
        <v>18</v>
      </c>
      <c r="N28">
        <v>18</v>
      </c>
      <c r="O28">
        <v>5</v>
      </c>
      <c r="P28">
        <v>5</v>
      </c>
      <c r="Q28">
        <v>23</v>
      </c>
      <c r="R28">
        <v>1910</v>
      </c>
      <c r="S28">
        <v>20</v>
      </c>
      <c r="T28">
        <v>6046</v>
      </c>
      <c r="U28" s="9">
        <f t="shared" si="1"/>
        <v>31.591134634469071</v>
      </c>
    </row>
    <row r="29" spans="1:21" x14ac:dyDescent="0.35">
      <c r="A29" s="5" t="s">
        <v>263</v>
      </c>
      <c r="B29" s="15">
        <v>11</v>
      </c>
      <c r="C29" s="15">
        <v>11</v>
      </c>
      <c r="D29" s="15">
        <v>0</v>
      </c>
      <c r="E29" s="15">
        <v>0</v>
      </c>
      <c r="F29" s="15">
        <v>12</v>
      </c>
      <c r="G29" s="15">
        <v>556</v>
      </c>
      <c r="H29">
        <v>12</v>
      </c>
      <c r="I29" s="15">
        <v>616</v>
      </c>
      <c r="J29" s="9">
        <f t="shared" si="0"/>
        <v>90.259740259740255</v>
      </c>
      <c r="L29" t="s">
        <v>263</v>
      </c>
      <c r="M29">
        <v>12</v>
      </c>
      <c r="N29">
        <v>12</v>
      </c>
      <c r="O29">
        <v>0</v>
      </c>
      <c r="P29">
        <v>0</v>
      </c>
      <c r="Q29">
        <v>12</v>
      </c>
      <c r="R29">
        <v>994</v>
      </c>
      <c r="S29">
        <v>12</v>
      </c>
      <c r="T29">
        <v>2112</v>
      </c>
      <c r="U29" s="9">
        <f t="shared" si="1"/>
        <v>47.064393939393938</v>
      </c>
    </row>
    <row r="30" spans="1:21" x14ac:dyDescent="0.35">
      <c r="B30">
        <f>SUM(B2:B29)</f>
        <v>546</v>
      </c>
      <c r="C30">
        <f>SUM(C2:C29)</f>
        <v>546</v>
      </c>
      <c r="D30">
        <f t="shared" ref="D30:G30" si="2">SUM(D2:D29)</f>
        <v>113</v>
      </c>
      <c r="E30">
        <f t="shared" si="2"/>
        <v>113</v>
      </c>
      <c r="F30">
        <f t="shared" si="2"/>
        <v>592</v>
      </c>
      <c r="G30">
        <f t="shared" si="2"/>
        <v>33978</v>
      </c>
      <c r="H30">
        <f t="shared" ref="H30" si="3">SUM(H2:H29)</f>
        <v>568</v>
      </c>
      <c r="I30">
        <f t="shared" ref="I30" si="4">SUM(I2:I29)</f>
        <v>54324</v>
      </c>
      <c r="J30" s="9">
        <f>G30/I30*100</f>
        <v>62.546940578749719</v>
      </c>
      <c r="M30">
        <f>SUM(M2:M29)</f>
        <v>421</v>
      </c>
      <c r="N30">
        <f>SUM(N2:N29)</f>
        <v>421</v>
      </c>
      <c r="O30">
        <f>SUM(O2:O29)</f>
        <v>128</v>
      </c>
      <c r="P30">
        <f>SUM(P2:P29)</f>
        <v>128</v>
      </c>
      <c r="Q30">
        <f>SUM(Q2:Q29)</f>
        <v>597</v>
      </c>
      <c r="R30">
        <f t="shared" ref="R30:T30" si="5">SUM(R2:R29)</f>
        <v>72720</v>
      </c>
      <c r="S30">
        <f t="shared" si="5"/>
        <v>545</v>
      </c>
      <c r="T30">
        <f t="shared" si="5"/>
        <v>254413</v>
      </c>
      <c r="U30" s="9">
        <f t="shared" si="1"/>
        <v>28.583445028359399</v>
      </c>
    </row>
    <row r="32" spans="1:21" x14ac:dyDescent="0.35">
      <c r="A32" s="23" t="s">
        <v>264</v>
      </c>
      <c r="B32" s="23" t="s">
        <v>265</v>
      </c>
      <c r="C32" s="23" t="s">
        <v>266</v>
      </c>
      <c r="D32" s="23"/>
      <c r="E32" s="23"/>
      <c r="F32" s="23"/>
      <c r="G32" s="23" t="s">
        <v>16</v>
      </c>
      <c r="H32" s="23"/>
      <c r="I32" s="23"/>
      <c r="J32" s="23"/>
      <c r="K32" s="6"/>
    </row>
    <row r="33" spans="1:11" x14ac:dyDescent="0.35">
      <c r="A33" s="23"/>
      <c r="B33" s="23"/>
      <c r="C33" s="23" t="s">
        <v>267</v>
      </c>
      <c r="D33" s="23"/>
      <c r="E33" s="23"/>
      <c r="F33" s="23" t="s">
        <v>268</v>
      </c>
      <c r="H33" s="6" t="s">
        <v>267</v>
      </c>
      <c r="I33" s="6"/>
      <c r="J33" s="23" t="s">
        <v>268</v>
      </c>
      <c r="K33" s="6"/>
    </row>
    <row r="34" spans="1:11" x14ac:dyDescent="0.35">
      <c r="A34" s="23"/>
      <c r="B34" s="23"/>
      <c r="C34" s="7" t="s">
        <v>269</v>
      </c>
      <c r="D34" s="7" t="s">
        <v>270</v>
      </c>
      <c r="E34" s="7" t="s">
        <v>271</v>
      </c>
      <c r="F34" s="23"/>
      <c r="G34" s="7" t="s">
        <v>269</v>
      </c>
      <c r="H34" s="7" t="s">
        <v>270</v>
      </c>
      <c r="I34" s="7" t="s">
        <v>271</v>
      </c>
      <c r="J34" s="23"/>
      <c r="K34" s="6"/>
    </row>
    <row r="35" spans="1:11" x14ac:dyDescent="0.35">
      <c r="A35" t="s">
        <v>236</v>
      </c>
      <c r="B35">
        <v>9</v>
      </c>
      <c r="C35">
        <f>B2</f>
        <v>9</v>
      </c>
      <c r="D35">
        <f>H2</f>
        <v>9</v>
      </c>
      <c r="E35">
        <f>F2</f>
        <v>9</v>
      </c>
      <c r="F35" s="9">
        <f>J2</f>
        <v>46.296296296296298</v>
      </c>
      <c r="G35">
        <f>M2</f>
        <v>7</v>
      </c>
      <c r="H35">
        <f>S2</f>
        <v>7</v>
      </c>
      <c r="I35">
        <f>Q2</f>
        <v>9</v>
      </c>
      <c r="J35" s="9">
        <f>U2</f>
        <v>9.5238095238095237</v>
      </c>
    </row>
    <row r="36" spans="1:11" x14ac:dyDescent="0.35">
      <c r="A36" t="s">
        <v>237</v>
      </c>
      <c r="B36">
        <v>8</v>
      </c>
      <c r="C36">
        <f t="shared" ref="C36:C62" si="6">B3</f>
        <v>8</v>
      </c>
      <c r="D36">
        <f t="shared" ref="D36:D62" si="7">H3</f>
        <v>8</v>
      </c>
      <c r="E36">
        <f t="shared" ref="E36:E62" si="8">F3</f>
        <v>8</v>
      </c>
      <c r="F36" s="9">
        <f t="shared" ref="F36:F62" si="9">J3</f>
        <v>9.4594594594594597</v>
      </c>
      <c r="G36">
        <f t="shared" ref="G36:G56" si="10">M3</f>
        <v>6</v>
      </c>
      <c r="H36">
        <f t="shared" ref="H36:H56" si="11">S3</f>
        <v>6</v>
      </c>
      <c r="I36">
        <f t="shared" ref="I36:I56" si="12">Q3</f>
        <v>8</v>
      </c>
      <c r="J36" s="9">
        <f t="shared" ref="J36:J56" si="13">U3</f>
        <v>3.494926719278467</v>
      </c>
    </row>
    <row r="37" spans="1:11" x14ac:dyDescent="0.35">
      <c r="A37" t="s">
        <v>238</v>
      </c>
      <c r="B37">
        <v>9</v>
      </c>
      <c r="C37">
        <f t="shared" si="6"/>
        <v>9</v>
      </c>
      <c r="D37">
        <f t="shared" si="7"/>
        <v>9</v>
      </c>
      <c r="E37">
        <f t="shared" si="8"/>
        <v>9</v>
      </c>
      <c r="F37" s="9">
        <f t="shared" si="9"/>
        <v>56.765676567656762</v>
      </c>
      <c r="G37">
        <f t="shared" si="10"/>
        <v>6</v>
      </c>
      <c r="H37">
        <f t="shared" si="11"/>
        <v>9</v>
      </c>
      <c r="I37">
        <f t="shared" si="12"/>
        <v>9</v>
      </c>
      <c r="J37" s="9">
        <f t="shared" si="13"/>
        <v>38.249158249158249</v>
      </c>
    </row>
    <row r="38" spans="1:11" x14ac:dyDescent="0.35">
      <c r="A38" t="s">
        <v>239</v>
      </c>
      <c r="B38">
        <v>9</v>
      </c>
      <c r="C38">
        <f t="shared" si="6"/>
        <v>4</v>
      </c>
      <c r="D38">
        <f t="shared" si="7"/>
        <v>6</v>
      </c>
      <c r="E38">
        <f t="shared" si="8"/>
        <v>6</v>
      </c>
      <c r="F38" s="9">
        <f t="shared" si="9"/>
        <v>71.17647058823529</v>
      </c>
      <c r="G38">
        <f t="shared" si="10"/>
        <v>3</v>
      </c>
      <c r="H38">
        <f t="shared" si="11"/>
        <v>6</v>
      </c>
      <c r="I38">
        <f t="shared" si="12"/>
        <v>6</v>
      </c>
      <c r="J38" s="9">
        <f t="shared" si="13"/>
        <v>34.588235294117645</v>
      </c>
    </row>
    <row r="39" spans="1:11" x14ac:dyDescent="0.35">
      <c r="A39" t="s">
        <v>240</v>
      </c>
      <c r="B39">
        <v>6</v>
      </c>
      <c r="C39">
        <f t="shared" si="6"/>
        <v>28</v>
      </c>
      <c r="D39">
        <f t="shared" si="7"/>
        <v>28</v>
      </c>
      <c r="E39">
        <f t="shared" si="8"/>
        <v>29</v>
      </c>
      <c r="F39" s="9">
        <f t="shared" si="9"/>
        <v>78.333333333333329</v>
      </c>
      <c r="G39">
        <f t="shared" si="10"/>
        <v>20</v>
      </c>
      <c r="H39">
        <f t="shared" si="11"/>
        <v>27</v>
      </c>
      <c r="I39">
        <f t="shared" si="12"/>
        <v>29</v>
      </c>
      <c r="J39" s="9">
        <f t="shared" si="13"/>
        <v>40.473807140473802</v>
      </c>
    </row>
    <row r="40" spans="1:11" x14ac:dyDescent="0.35">
      <c r="A40" t="s">
        <v>241</v>
      </c>
      <c r="B40">
        <v>30</v>
      </c>
      <c r="C40">
        <f t="shared" si="6"/>
        <v>34</v>
      </c>
      <c r="D40">
        <f t="shared" si="7"/>
        <v>35</v>
      </c>
      <c r="E40">
        <f t="shared" si="8"/>
        <v>37</v>
      </c>
      <c r="F40" s="9">
        <f t="shared" si="9"/>
        <v>85.730337078651687</v>
      </c>
      <c r="G40">
        <f t="shared" si="10"/>
        <v>26</v>
      </c>
      <c r="H40">
        <f t="shared" si="11"/>
        <v>33</v>
      </c>
      <c r="I40">
        <f t="shared" si="12"/>
        <v>36</v>
      </c>
      <c r="J40" s="9">
        <f t="shared" si="13"/>
        <v>40.841054882394864</v>
      </c>
    </row>
    <row r="41" spans="1:11" x14ac:dyDescent="0.35">
      <c r="A41" t="s">
        <v>242</v>
      </c>
      <c r="B41">
        <v>38</v>
      </c>
      <c r="C41">
        <f t="shared" si="6"/>
        <v>27</v>
      </c>
      <c r="D41">
        <f t="shared" si="7"/>
        <v>28</v>
      </c>
      <c r="E41">
        <f t="shared" si="8"/>
        <v>28</v>
      </c>
      <c r="F41" s="9">
        <f t="shared" si="9"/>
        <v>85.410334346504555</v>
      </c>
      <c r="G41">
        <f t="shared" si="10"/>
        <v>24</v>
      </c>
      <c r="H41">
        <f t="shared" si="11"/>
        <v>28</v>
      </c>
      <c r="I41">
        <f t="shared" si="12"/>
        <v>28</v>
      </c>
      <c r="J41" s="9">
        <f t="shared" si="13"/>
        <v>44.187056609237004</v>
      </c>
    </row>
    <row r="42" spans="1:11" x14ac:dyDescent="0.35">
      <c r="A42" t="s">
        <v>243</v>
      </c>
      <c r="B42">
        <v>30</v>
      </c>
      <c r="C42">
        <f t="shared" si="6"/>
        <v>42</v>
      </c>
      <c r="D42">
        <f t="shared" si="7"/>
        <v>44</v>
      </c>
      <c r="E42">
        <f t="shared" si="8"/>
        <v>48</v>
      </c>
      <c r="F42" s="9">
        <f t="shared" si="9"/>
        <v>48.964624676445212</v>
      </c>
      <c r="G42">
        <f t="shared" si="10"/>
        <v>35</v>
      </c>
      <c r="H42">
        <f t="shared" si="11"/>
        <v>43</v>
      </c>
      <c r="I42">
        <f t="shared" si="12"/>
        <v>51</v>
      </c>
      <c r="J42" s="9">
        <f t="shared" si="13"/>
        <v>14.223440029891643</v>
      </c>
    </row>
    <row r="43" spans="1:11" x14ac:dyDescent="0.35">
      <c r="A43" t="s">
        <v>244</v>
      </c>
      <c r="B43">
        <v>55</v>
      </c>
      <c r="C43">
        <f t="shared" si="6"/>
        <v>58</v>
      </c>
      <c r="D43">
        <f t="shared" si="7"/>
        <v>59</v>
      </c>
      <c r="E43">
        <f t="shared" si="8"/>
        <v>61</v>
      </c>
      <c r="F43" s="9">
        <f t="shared" si="9"/>
        <v>59.699355762347885</v>
      </c>
      <c r="G43">
        <f t="shared" si="10"/>
        <v>38</v>
      </c>
      <c r="H43">
        <f t="shared" si="11"/>
        <v>56</v>
      </c>
      <c r="I43">
        <f t="shared" si="12"/>
        <v>61</v>
      </c>
      <c r="J43" s="9">
        <f t="shared" si="13"/>
        <v>18.201467898624735</v>
      </c>
    </row>
    <row r="44" spans="1:11" x14ac:dyDescent="0.35">
      <c r="A44" t="s">
        <v>245</v>
      </c>
      <c r="B44">
        <v>9</v>
      </c>
      <c r="C44">
        <f t="shared" si="6"/>
        <v>7</v>
      </c>
      <c r="D44">
        <f t="shared" si="7"/>
        <v>7</v>
      </c>
      <c r="E44">
        <f t="shared" si="8"/>
        <v>8</v>
      </c>
      <c r="F44" s="9">
        <f t="shared" si="9"/>
        <v>60.12176560121766</v>
      </c>
      <c r="G44">
        <f t="shared" si="10"/>
        <v>4</v>
      </c>
      <c r="H44">
        <f t="shared" si="11"/>
        <v>7</v>
      </c>
      <c r="I44">
        <f t="shared" si="12"/>
        <v>8</v>
      </c>
      <c r="J44" s="9">
        <f t="shared" si="13"/>
        <v>27.438640654499686</v>
      </c>
    </row>
    <row r="45" spans="1:11" x14ac:dyDescent="0.35">
      <c r="A45" t="s">
        <v>246</v>
      </c>
      <c r="B45">
        <v>24</v>
      </c>
      <c r="C45">
        <f t="shared" si="6"/>
        <v>16</v>
      </c>
      <c r="D45">
        <f t="shared" si="7"/>
        <v>19</v>
      </c>
      <c r="E45">
        <f t="shared" si="8"/>
        <v>20</v>
      </c>
      <c r="F45" s="9">
        <f t="shared" si="9"/>
        <v>48.633364750235621</v>
      </c>
      <c r="G45">
        <f t="shared" si="10"/>
        <v>14</v>
      </c>
      <c r="H45">
        <f t="shared" si="11"/>
        <v>18</v>
      </c>
      <c r="I45">
        <f t="shared" si="12"/>
        <v>21</v>
      </c>
      <c r="J45" s="9">
        <f t="shared" si="13"/>
        <v>11.258361731667298</v>
      </c>
    </row>
    <row r="46" spans="1:11" x14ac:dyDescent="0.35">
      <c r="A46" t="s">
        <v>247</v>
      </c>
      <c r="B46">
        <v>9</v>
      </c>
      <c r="C46">
        <f t="shared" si="6"/>
        <v>9</v>
      </c>
      <c r="D46">
        <f t="shared" si="7"/>
        <v>9</v>
      </c>
      <c r="E46">
        <f t="shared" si="8"/>
        <v>9</v>
      </c>
      <c r="F46" s="9">
        <f t="shared" si="9"/>
        <v>39.124293785310734</v>
      </c>
      <c r="G46">
        <f t="shared" si="10"/>
        <v>5</v>
      </c>
      <c r="H46">
        <f t="shared" si="11"/>
        <v>9</v>
      </c>
      <c r="I46">
        <f t="shared" si="12"/>
        <v>9</v>
      </c>
      <c r="J46" s="9">
        <f t="shared" si="13"/>
        <v>25.465973125270914</v>
      </c>
    </row>
    <row r="47" spans="1:11" x14ac:dyDescent="0.35">
      <c r="A47" t="s">
        <v>248</v>
      </c>
      <c r="B47">
        <v>15</v>
      </c>
      <c r="C47">
        <f t="shared" si="6"/>
        <v>14</v>
      </c>
      <c r="D47">
        <f t="shared" si="7"/>
        <v>15</v>
      </c>
      <c r="E47">
        <f t="shared" si="8"/>
        <v>15</v>
      </c>
      <c r="F47" s="9">
        <f t="shared" si="9"/>
        <v>34.050632911392405</v>
      </c>
      <c r="G47">
        <f t="shared" si="10"/>
        <v>7</v>
      </c>
      <c r="H47">
        <f t="shared" si="11"/>
        <v>14</v>
      </c>
      <c r="I47">
        <f t="shared" si="12"/>
        <v>15</v>
      </c>
      <c r="J47" s="9">
        <f t="shared" si="13"/>
        <v>16.5374677002584</v>
      </c>
    </row>
    <row r="48" spans="1:11" x14ac:dyDescent="0.35">
      <c r="A48" t="s">
        <v>249</v>
      </c>
      <c r="B48">
        <v>10</v>
      </c>
      <c r="C48">
        <f t="shared" si="6"/>
        <v>10</v>
      </c>
      <c r="D48">
        <f t="shared" si="7"/>
        <v>10</v>
      </c>
      <c r="E48">
        <f t="shared" si="8"/>
        <v>10</v>
      </c>
      <c r="F48" s="9">
        <f t="shared" si="9"/>
        <v>4.4247787610619467</v>
      </c>
      <c r="G48">
        <f t="shared" si="10"/>
        <v>7</v>
      </c>
      <c r="H48">
        <f t="shared" si="11"/>
        <v>7</v>
      </c>
      <c r="I48">
        <f t="shared" si="12"/>
        <v>10</v>
      </c>
      <c r="J48" s="9">
        <f t="shared" si="13"/>
        <v>0.81871345029239773</v>
      </c>
    </row>
    <row r="49" spans="1:10" x14ac:dyDescent="0.35">
      <c r="A49" t="s">
        <v>250</v>
      </c>
      <c r="B49">
        <v>8</v>
      </c>
      <c r="C49">
        <f t="shared" si="6"/>
        <v>7</v>
      </c>
      <c r="D49">
        <f t="shared" si="7"/>
        <v>8</v>
      </c>
      <c r="E49">
        <f t="shared" si="8"/>
        <v>8</v>
      </c>
      <c r="F49" s="9">
        <f t="shared" si="9"/>
        <v>69.325153374233125</v>
      </c>
      <c r="G49">
        <f t="shared" si="10"/>
        <v>1</v>
      </c>
      <c r="H49">
        <f t="shared" si="11"/>
        <v>7</v>
      </c>
      <c r="I49">
        <f t="shared" si="12"/>
        <v>7</v>
      </c>
      <c r="J49" s="9">
        <f t="shared" si="13"/>
        <v>35.548172757475086</v>
      </c>
    </row>
    <row r="50" spans="1:10" x14ac:dyDescent="0.35">
      <c r="A50" t="s">
        <v>251</v>
      </c>
      <c r="B50">
        <v>20</v>
      </c>
      <c r="C50">
        <f t="shared" si="6"/>
        <v>19</v>
      </c>
      <c r="D50">
        <f t="shared" si="7"/>
        <v>19</v>
      </c>
      <c r="E50">
        <f t="shared" si="8"/>
        <v>20</v>
      </c>
      <c r="F50" s="9">
        <f t="shared" si="9"/>
        <v>50.956284153005463</v>
      </c>
      <c r="G50">
        <f t="shared" si="10"/>
        <v>15</v>
      </c>
      <c r="H50">
        <f t="shared" si="11"/>
        <v>18</v>
      </c>
      <c r="I50">
        <f t="shared" si="12"/>
        <v>20</v>
      </c>
      <c r="J50" s="9">
        <f t="shared" si="13"/>
        <v>19.026160971335589</v>
      </c>
    </row>
    <row r="51" spans="1:10" x14ac:dyDescent="0.35">
      <c r="A51" t="s">
        <v>252</v>
      </c>
      <c r="B51">
        <v>18</v>
      </c>
      <c r="C51">
        <f t="shared" si="6"/>
        <v>14</v>
      </c>
      <c r="D51">
        <f t="shared" si="7"/>
        <v>14</v>
      </c>
      <c r="E51">
        <f t="shared" si="8"/>
        <v>14</v>
      </c>
      <c r="F51" s="9">
        <f t="shared" si="9"/>
        <v>74.384236453201964</v>
      </c>
      <c r="G51">
        <f t="shared" si="10"/>
        <v>9</v>
      </c>
      <c r="H51">
        <f t="shared" si="11"/>
        <v>12</v>
      </c>
      <c r="I51">
        <f t="shared" si="12"/>
        <v>14</v>
      </c>
      <c r="J51" s="9">
        <f t="shared" si="13"/>
        <v>20.511330621731553</v>
      </c>
    </row>
    <row r="52" spans="1:10" x14ac:dyDescent="0.35">
      <c r="A52" t="s">
        <v>253</v>
      </c>
      <c r="B52">
        <v>16</v>
      </c>
      <c r="C52">
        <f t="shared" si="6"/>
        <v>8</v>
      </c>
      <c r="D52">
        <f t="shared" si="7"/>
        <v>8</v>
      </c>
      <c r="E52">
        <f t="shared" si="8"/>
        <v>16</v>
      </c>
      <c r="F52" s="9">
        <f t="shared" si="9"/>
        <v>12.5</v>
      </c>
      <c r="G52">
        <f t="shared" si="10"/>
        <v>8</v>
      </c>
      <c r="H52">
        <f t="shared" si="11"/>
        <v>8</v>
      </c>
      <c r="I52">
        <f t="shared" si="12"/>
        <v>16</v>
      </c>
      <c r="J52" s="9">
        <f t="shared" si="13"/>
        <v>0.60790273556231</v>
      </c>
    </row>
    <row r="53" spans="1:10" x14ac:dyDescent="0.35">
      <c r="A53" t="s">
        <v>254</v>
      </c>
      <c r="B53">
        <v>12</v>
      </c>
      <c r="C53">
        <f t="shared" si="6"/>
        <v>9</v>
      </c>
      <c r="D53">
        <f t="shared" si="7"/>
        <v>10</v>
      </c>
      <c r="E53">
        <f t="shared" si="8"/>
        <v>12</v>
      </c>
      <c r="F53" s="9">
        <f t="shared" si="9"/>
        <v>28.272251308900525</v>
      </c>
      <c r="G53">
        <f t="shared" si="10"/>
        <v>7</v>
      </c>
      <c r="H53">
        <f t="shared" si="11"/>
        <v>10</v>
      </c>
      <c r="I53">
        <f t="shared" si="12"/>
        <v>12</v>
      </c>
      <c r="J53" s="9">
        <f t="shared" si="13"/>
        <v>9.1061686949223652</v>
      </c>
    </row>
    <row r="54" spans="1:10" x14ac:dyDescent="0.35">
      <c r="A54" t="s">
        <v>255</v>
      </c>
      <c r="B54">
        <v>34</v>
      </c>
      <c r="C54">
        <f t="shared" si="6"/>
        <v>29</v>
      </c>
      <c r="D54">
        <f t="shared" si="7"/>
        <v>31</v>
      </c>
      <c r="E54">
        <f t="shared" si="8"/>
        <v>31</v>
      </c>
      <c r="F54" s="9">
        <f t="shared" si="9"/>
        <v>64.305402425578833</v>
      </c>
      <c r="G54">
        <f t="shared" si="10"/>
        <v>26</v>
      </c>
      <c r="H54">
        <f t="shared" si="11"/>
        <v>33</v>
      </c>
      <c r="I54">
        <f t="shared" si="12"/>
        <v>33</v>
      </c>
      <c r="J54" s="9">
        <f t="shared" si="13"/>
        <v>24.517421391283236</v>
      </c>
    </row>
    <row r="55" spans="1:10" x14ac:dyDescent="0.35">
      <c r="A55" t="s">
        <v>256</v>
      </c>
      <c r="B55">
        <v>36</v>
      </c>
      <c r="C55">
        <f t="shared" si="6"/>
        <v>31</v>
      </c>
      <c r="D55">
        <f t="shared" si="7"/>
        <v>33</v>
      </c>
      <c r="E55">
        <f t="shared" si="8"/>
        <v>35</v>
      </c>
      <c r="F55" s="9">
        <f t="shared" si="9"/>
        <v>73.366714353838816</v>
      </c>
      <c r="G55">
        <f t="shared" si="10"/>
        <v>27</v>
      </c>
      <c r="H55">
        <f t="shared" si="11"/>
        <v>34</v>
      </c>
      <c r="I55">
        <f t="shared" si="12"/>
        <v>36</v>
      </c>
      <c r="J55" s="9">
        <f t="shared" si="13"/>
        <v>32.547064096817572</v>
      </c>
    </row>
    <row r="56" spans="1:10" x14ac:dyDescent="0.35">
      <c r="A56" t="s">
        <v>257</v>
      </c>
      <c r="B56">
        <v>4</v>
      </c>
      <c r="C56">
        <f t="shared" si="6"/>
        <v>4</v>
      </c>
      <c r="D56">
        <f t="shared" si="7"/>
        <v>4</v>
      </c>
      <c r="E56">
        <f t="shared" si="8"/>
        <v>4</v>
      </c>
      <c r="F56" s="9">
        <f t="shared" si="9"/>
        <v>11.940298507462686</v>
      </c>
      <c r="G56">
        <f t="shared" si="10"/>
        <v>2</v>
      </c>
      <c r="H56">
        <f t="shared" si="11"/>
        <v>2</v>
      </c>
      <c r="I56">
        <f t="shared" si="12"/>
        <v>3</v>
      </c>
      <c r="J56" s="9">
        <f t="shared" si="13"/>
        <v>0.87912087912087911</v>
      </c>
    </row>
    <row r="57" spans="1:10" x14ac:dyDescent="0.35">
      <c r="A57" t="s">
        <v>258</v>
      </c>
      <c r="B57">
        <v>33</v>
      </c>
      <c r="C57">
        <f t="shared" si="6"/>
        <v>31</v>
      </c>
      <c r="D57">
        <f t="shared" si="7"/>
        <v>33</v>
      </c>
      <c r="E57">
        <f t="shared" si="8"/>
        <v>33</v>
      </c>
      <c r="F57" s="9">
        <f t="shared" si="9"/>
        <v>83.197781885397418</v>
      </c>
      <c r="G57">
        <f>M24</f>
        <v>21</v>
      </c>
      <c r="H57">
        <f>S24</f>
        <v>33</v>
      </c>
      <c r="I57">
        <f>Q24</f>
        <v>33</v>
      </c>
      <c r="J57" s="9">
        <f>U24</f>
        <v>40.98861720067454</v>
      </c>
    </row>
    <row r="58" spans="1:10" x14ac:dyDescent="0.35">
      <c r="A58" t="s">
        <v>259</v>
      </c>
      <c r="B58">
        <v>26</v>
      </c>
      <c r="C58">
        <f t="shared" si="6"/>
        <v>26</v>
      </c>
      <c r="D58">
        <f t="shared" si="7"/>
        <v>26</v>
      </c>
      <c r="E58">
        <f t="shared" si="8"/>
        <v>26</v>
      </c>
      <c r="F58" s="9">
        <f t="shared" si="9"/>
        <v>90.939907550077038</v>
      </c>
      <c r="G58">
        <f t="shared" ref="G58:G63" si="14">M25</f>
        <v>16</v>
      </c>
      <c r="H58">
        <f t="shared" ref="H58:H63" si="15">S25</f>
        <v>26</v>
      </c>
      <c r="I58">
        <f t="shared" ref="I58:I63" si="16">Q25</f>
        <v>26</v>
      </c>
      <c r="J58" s="9">
        <f t="shared" ref="J58:J63" si="17">U25</f>
        <v>57.550257129499769</v>
      </c>
    </row>
    <row r="59" spans="1:10" x14ac:dyDescent="0.35">
      <c r="A59" t="s">
        <v>260</v>
      </c>
      <c r="B59">
        <v>46</v>
      </c>
      <c r="C59">
        <f t="shared" si="6"/>
        <v>44</v>
      </c>
      <c r="D59">
        <f t="shared" si="7"/>
        <v>45</v>
      </c>
      <c r="E59">
        <f t="shared" si="8"/>
        <v>45</v>
      </c>
      <c r="F59" s="9">
        <f t="shared" si="9"/>
        <v>49.01672486675244</v>
      </c>
      <c r="G59">
        <f t="shared" si="14"/>
        <v>41</v>
      </c>
      <c r="H59">
        <f t="shared" si="15"/>
        <v>44</v>
      </c>
      <c r="I59">
        <f t="shared" si="16"/>
        <v>45</v>
      </c>
      <c r="J59" s="9">
        <f t="shared" si="17"/>
        <v>24.269662921348313</v>
      </c>
    </row>
    <row r="60" spans="1:10" x14ac:dyDescent="0.35">
      <c r="A60" t="s">
        <v>261</v>
      </c>
      <c r="B60">
        <v>18</v>
      </c>
      <c r="C60">
        <f t="shared" si="6"/>
        <v>15</v>
      </c>
      <c r="D60">
        <f t="shared" si="7"/>
        <v>16</v>
      </c>
      <c r="E60">
        <f t="shared" si="8"/>
        <v>16</v>
      </c>
      <c r="F60" s="9">
        <f t="shared" si="9"/>
        <v>95.816242821985227</v>
      </c>
      <c r="G60">
        <f t="shared" si="14"/>
        <v>16</v>
      </c>
      <c r="H60">
        <f t="shared" si="15"/>
        <v>16</v>
      </c>
      <c r="I60">
        <f t="shared" si="16"/>
        <v>17</v>
      </c>
      <c r="J60" s="9">
        <f t="shared" si="17"/>
        <v>51.090983944009885</v>
      </c>
    </row>
    <row r="61" spans="1:10" x14ac:dyDescent="0.35">
      <c r="A61" t="s">
        <v>262</v>
      </c>
      <c r="B61">
        <v>23</v>
      </c>
      <c r="C61">
        <f t="shared" si="6"/>
        <v>23</v>
      </c>
      <c r="D61">
        <f t="shared" si="7"/>
        <v>23</v>
      </c>
      <c r="E61">
        <f t="shared" si="8"/>
        <v>23</v>
      </c>
      <c r="F61" s="9">
        <f t="shared" si="9"/>
        <v>41.165803108808291</v>
      </c>
      <c r="G61">
        <f t="shared" si="14"/>
        <v>18</v>
      </c>
      <c r="H61">
        <f t="shared" si="15"/>
        <v>20</v>
      </c>
      <c r="I61">
        <f t="shared" si="16"/>
        <v>23</v>
      </c>
      <c r="J61" s="9">
        <f t="shared" si="17"/>
        <v>31.591134634469071</v>
      </c>
    </row>
    <row r="62" spans="1:10" x14ac:dyDescent="0.35">
      <c r="A62" t="s">
        <v>263</v>
      </c>
      <c r="B62">
        <v>12</v>
      </c>
      <c r="C62">
        <f t="shared" si="6"/>
        <v>11</v>
      </c>
      <c r="D62">
        <f t="shared" si="7"/>
        <v>12</v>
      </c>
      <c r="E62">
        <f t="shared" si="8"/>
        <v>12</v>
      </c>
      <c r="F62" s="9">
        <f t="shared" si="9"/>
        <v>90.259740259740255</v>
      </c>
      <c r="G62">
        <f t="shared" si="14"/>
        <v>12</v>
      </c>
      <c r="H62">
        <f t="shared" si="15"/>
        <v>12</v>
      </c>
      <c r="I62">
        <f t="shared" si="16"/>
        <v>12</v>
      </c>
      <c r="J62" s="9">
        <f t="shared" si="17"/>
        <v>47.064393939393938</v>
      </c>
    </row>
    <row r="63" spans="1:10" x14ac:dyDescent="0.35">
      <c r="B63">
        <f>SUM(B35:B62)</f>
        <v>567</v>
      </c>
      <c r="C63">
        <f t="shared" ref="C63:E63" si="18">SUM(C35:C62)</f>
        <v>546</v>
      </c>
      <c r="D63">
        <f t="shared" si="18"/>
        <v>568</v>
      </c>
      <c r="E63">
        <f t="shared" si="18"/>
        <v>592</v>
      </c>
      <c r="F63" s="9">
        <f>J30</f>
        <v>62.546940578749719</v>
      </c>
      <c r="G63">
        <f t="shared" si="14"/>
        <v>421</v>
      </c>
      <c r="H63">
        <f t="shared" si="15"/>
        <v>545</v>
      </c>
      <c r="I63">
        <f t="shared" si="16"/>
        <v>597</v>
      </c>
      <c r="J63" s="9">
        <f t="shared" si="17"/>
        <v>28.583445028359399</v>
      </c>
    </row>
    <row r="66" spans="3:3" x14ac:dyDescent="0.35">
      <c r="C66">
        <f>B63-E63</f>
        <v>-25</v>
      </c>
    </row>
  </sheetData>
  <mergeCells count="7">
    <mergeCell ref="J33:J34"/>
    <mergeCell ref="A32:A34"/>
    <mergeCell ref="B32:B34"/>
    <mergeCell ref="G32:J32"/>
    <mergeCell ref="C32:F32"/>
    <mergeCell ref="C33:E33"/>
    <mergeCell ref="F33:F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E643-0E02-467E-B6E1-2AE8C72B8420}">
  <dimension ref="A1:V546"/>
  <sheetViews>
    <sheetView workbookViewId="0">
      <selection sqref="A1:A547"/>
    </sheetView>
  </sheetViews>
  <sheetFormatPr defaultRowHeight="14.5" x14ac:dyDescent="0.35"/>
  <sheetData>
    <row r="1" spans="1:22" x14ac:dyDescent="0.35">
      <c r="A1" t="s">
        <v>24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25</v>
      </c>
      <c r="L1" t="s">
        <v>26</v>
      </c>
      <c r="M1" t="s">
        <v>27</v>
      </c>
      <c r="N1" t="s">
        <v>25</v>
      </c>
      <c r="O1" t="s">
        <v>26</v>
      </c>
      <c r="P1" t="s">
        <v>27</v>
      </c>
      <c r="Q1" t="s">
        <v>25</v>
      </c>
      <c r="R1" t="s">
        <v>26</v>
      </c>
      <c r="S1" t="s">
        <v>27</v>
      </c>
      <c r="T1" t="s">
        <v>25</v>
      </c>
      <c r="U1" t="s">
        <v>26</v>
      </c>
      <c r="V1" t="s">
        <v>27</v>
      </c>
    </row>
    <row r="2" spans="1:22" x14ac:dyDescent="0.35">
      <c r="A2" t="s">
        <v>28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192</v>
      </c>
      <c r="L2">
        <f>COUNTIF(B1:B1000,"&lt;=5")</f>
        <v>453</v>
      </c>
      <c r="M2">
        <f>COUNTIF(B1:B1000,"&lt;=10")</f>
        <v>516</v>
      </c>
      <c r="N2">
        <f>COUNTIF(C1:C1000,"=1")</f>
        <v>65</v>
      </c>
      <c r="O2">
        <f>COUNTIF(C1:C1000,"&lt;=5")</f>
        <v>185</v>
      </c>
      <c r="P2">
        <f>COUNTIF(C1:C1000,"&lt;=10")</f>
        <v>248</v>
      </c>
      <c r="Q2">
        <f>COUNTIF(D1:D1000,"=1")</f>
        <v>84</v>
      </c>
      <c r="R2">
        <f>COUNTIF(D1:D1000,"&lt;=5")</f>
        <v>170</v>
      </c>
      <c r="S2">
        <f>COUNTIF(D1:D1000,"&lt;=10")</f>
        <v>262</v>
      </c>
      <c r="T2">
        <f>COUNTIF(E1:E1000,"=1")</f>
        <v>96</v>
      </c>
      <c r="U2">
        <f>COUNTIF(E1:E1000,"&lt;=5")</f>
        <v>261</v>
      </c>
      <c r="V2">
        <f>COUNTIF(E1:E1000,"&lt;=10")</f>
        <v>440</v>
      </c>
    </row>
    <row r="3" spans="1:22" x14ac:dyDescent="0.35">
      <c r="A3" t="s">
        <v>29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2" x14ac:dyDescent="0.35">
      <c r="A4" t="s">
        <v>30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2" x14ac:dyDescent="0.35">
      <c r="A5" t="s">
        <v>28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2" x14ac:dyDescent="0.35">
      <c r="A6" t="s">
        <v>29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2" x14ac:dyDescent="0.35">
      <c r="A7" t="s">
        <v>30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2" x14ac:dyDescent="0.35">
      <c r="A8" t="s">
        <v>24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2" x14ac:dyDescent="0.35">
      <c r="A9" t="s">
        <v>30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2" x14ac:dyDescent="0.35">
      <c r="A10" t="s">
        <v>32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2" x14ac:dyDescent="0.35">
      <c r="A11" t="s">
        <v>36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2" x14ac:dyDescent="0.35">
      <c r="A12" t="s">
        <v>34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2" x14ac:dyDescent="0.35">
      <c r="A13" t="s">
        <v>37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2" x14ac:dyDescent="0.35">
      <c r="A14" t="s">
        <v>31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2" x14ac:dyDescent="0.35">
      <c r="A15" t="s">
        <v>33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2" x14ac:dyDescent="0.35">
      <c r="A16" t="s">
        <v>35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35">
      <c r="A17" t="s">
        <v>35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35">
      <c r="A18" t="s">
        <v>42</v>
      </c>
      <c r="B18">
        <v>3</v>
      </c>
      <c r="C18">
        <v>51</v>
      </c>
      <c r="D18">
        <v>17</v>
      </c>
      <c r="E18">
        <v>3</v>
      </c>
      <c r="F18">
        <v>4</v>
      </c>
      <c r="G18" t="b">
        <v>1</v>
      </c>
      <c r="H18" t="b">
        <v>1</v>
      </c>
      <c r="I18" t="b">
        <v>1</v>
      </c>
    </row>
    <row r="19" spans="1:9" x14ac:dyDescent="0.35">
      <c r="A19" t="s">
        <v>40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35">
      <c r="A20" t="s">
        <v>38</v>
      </c>
      <c r="B20">
        <v>5</v>
      </c>
      <c r="C20">
        <v>39</v>
      </c>
      <c r="D20">
        <v>49</v>
      </c>
      <c r="E20">
        <v>5</v>
      </c>
      <c r="F20">
        <v>5</v>
      </c>
      <c r="G20" t="b">
        <v>1</v>
      </c>
      <c r="H20" t="b">
        <v>1</v>
      </c>
      <c r="I20" t="b">
        <v>1</v>
      </c>
    </row>
    <row r="21" spans="1:9" x14ac:dyDescent="0.35">
      <c r="A21" t="s">
        <v>40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35">
      <c r="A22" t="s">
        <v>39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35">
      <c r="A23" t="s">
        <v>41</v>
      </c>
      <c r="B23">
        <v>3</v>
      </c>
      <c r="C23">
        <v>92</v>
      </c>
      <c r="D23">
        <v>264</v>
      </c>
      <c r="E23">
        <v>13</v>
      </c>
      <c r="F23">
        <v>2</v>
      </c>
      <c r="G23" t="b">
        <v>1</v>
      </c>
      <c r="H23" t="b">
        <v>1</v>
      </c>
      <c r="I23" t="b">
        <v>1</v>
      </c>
    </row>
    <row r="24" spans="1:9" x14ac:dyDescent="0.35">
      <c r="A24" t="s">
        <v>40</v>
      </c>
      <c r="B24">
        <v>2</v>
      </c>
      <c r="C24">
        <v>27</v>
      </c>
      <c r="D24">
        <v>41</v>
      </c>
      <c r="E24">
        <v>4</v>
      </c>
      <c r="F24">
        <v>1</v>
      </c>
      <c r="G24" t="b">
        <v>1</v>
      </c>
      <c r="H24" t="b">
        <v>1</v>
      </c>
      <c r="I24" t="b">
        <v>1</v>
      </c>
    </row>
    <row r="25" spans="1:9" x14ac:dyDescent="0.35">
      <c r="A25" t="s">
        <v>39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35">
      <c r="A26" t="s">
        <v>40</v>
      </c>
      <c r="B26">
        <v>2</v>
      </c>
      <c r="C26">
        <v>27</v>
      </c>
      <c r="D26">
        <v>41</v>
      </c>
      <c r="E26">
        <v>4</v>
      </c>
      <c r="F26">
        <v>1</v>
      </c>
      <c r="G26" t="b">
        <v>1</v>
      </c>
      <c r="H26" t="b">
        <v>1</v>
      </c>
      <c r="I26" t="b">
        <v>1</v>
      </c>
    </row>
    <row r="27" spans="1:9" x14ac:dyDescent="0.35">
      <c r="A27" t="s">
        <v>43</v>
      </c>
      <c r="B27">
        <v>2</v>
      </c>
      <c r="C27">
        <v>17</v>
      </c>
      <c r="D27">
        <v>6</v>
      </c>
      <c r="E27">
        <v>3</v>
      </c>
      <c r="F27">
        <v>4</v>
      </c>
      <c r="G27" t="b">
        <v>1</v>
      </c>
      <c r="H27" t="b">
        <v>1</v>
      </c>
      <c r="I27" t="b">
        <v>1</v>
      </c>
    </row>
    <row r="28" spans="1:9" x14ac:dyDescent="0.35">
      <c r="A28" t="s">
        <v>46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35">
      <c r="A29" t="s">
        <v>44</v>
      </c>
      <c r="B29">
        <v>1</v>
      </c>
      <c r="C29">
        <v>1</v>
      </c>
      <c r="D29">
        <v>1</v>
      </c>
      <c r="E29">
        <v>4</v>
      </c>
      <c r="F29">
        <v>1</v>
      </c>
      <c r="G29" t="b">
        <v>1</v>
      </c>
      <c r="H29" t="b">
        <v>1</v>
      </c>
      <c r="I29" t="b">
        <v>1</v>
      </c>
    </row>
    <row r="30" spans="1:9" x14ac:dyDescent="0.35">
      <c r="A30" t="s">
        <v>45</v>
      </c>
      <c r="B30">
        <v>1</v>
      </c>
      <c r="C30">
        <v>9</v>
      </c>
      <c r="D30">
        <v>9</v>
      </c>
      <c r="E30">
        <v>1</v>
      </c>
      <c r="F30">
        <v>1</v>
      </c>
      <c r="G30" t="b">
        <v>1</v>
      </c>
      <c r="H30" t="b">
        <v>1</v>
      </c>
      <c r="I30" t="b">
        <v>1</v>
      </c>
    </row>
    <row r="31" spans="1:9" x14ac:dyDescent="0.35">
      <c r="A31" t="s">
        <v>47</v>
      </c>
      <c r="B31">
        <v>2</v>
      </c>
      <c r="C31">
        <v>2</v>
      </c>
      <c r="D31">
        <v>2</v>
      </c>
      <c r="E31">
        <v>5</v>
      </c>
      <c r="F31">
        <v>1</v>
      </c>
      <c r="G31" t="b">
        <v>1</v>
      </c>
      <c r="H31" t="b">
        <v>1</v>
      </c>
      <c r="I31" t="b">
        <v>1</v>
      </c>
    </row>
    <row r="32" spans="1:9" x14ac:dyDescent="0.35">
      <c r="A32" t="s">
        <v>35</v>
      </c>
      <c r="B32">
        <v>3</v>
      </c>
      <c r="C32">
        <v>3</v>
      </c>
      <c r="D32">
        <v>4</v>
      </c>
      <c r="E32">
        <v>6</v>
      </c>
      <c r="F32">
        <v>2</v>
      </c>
      <c r="G32" t="b">
        <v>1</v>
      </c>
      <c r="H32" t="b">
        <v>1</v>
      </c>
      <c r="I32" t="b">
        <v>1</v>
      </c>
    </row>
    <row r="33" spans="1:9" x14ac:dyDescent="0.35">
      <c r="A33" t="s">
        <v>35</v>
      </c>
      <c r="B33">
        <v>3</v>
      </c>
      <c r="C33">
        <v>3</v>
      </c>
      <c r="D33">
        <v>4</v>
      </c>
      <c r="E33">
        <v>6</v>
      </c>
      <c r="F33">
        <v>2</v>
      </c>
      <c r="G33" t="b">
        <v>1</v>
      </c>
      <c r="H33" t="b">
        <v>1</v>
      </c>
      <c r="I33" t="b">
        <v>1</v>
      </c>
    </row>
    <row r="34" spans="1:9" x14ac:dyDescent="0.35">
      <c r="A34" t="s">
        <v>49</v>
      </c>
      <c r="B34">
        <v>5</v>
      </c>
      <c r="C34">
        <v>36</v>
      </c>
      <c r="D34">
        <v>45</v>
      </c>
      <c r="E34">
        <v>9</v>
      </c>
      <c r="F34">
        <v>2</v>
      </c>
      <c r="G34" t="b">
        <v>1</v>
      </c>
      <c r="H34" t="b">
        <v>1</v>
      </c>
      <c r="I34" t="b">
        <v>1</v>
      </c>
    </row>
    <row r="35" spans="1:9" x14ac:dyDescent="0.35">
      <c r="A35" t="s">
        <v>51</v>
      </c>
      <c r="B35">
        <v>4</v>
      </c>
      <c r="C35">
        <v>31</v>
      </c>
      <c r="D35">
        <v>40</v>
      </c>
      <c r="E35">
        <v>8</v>
      </c>
      <c r="F35">
        <v>2</v>
      </c>
      <c r="G35" t="b">
        <v>1</v>
      </c>
      <c r="H35" t="b">
        <v>1</v>
      </c>
      <c r="I35" t="b">
        <v>1</v>
      </c>
    </row>
    <row r="36" spans="1:9" x14ac:dyDescent="0.35">
      <c r="A36" t="s">
        <v>49</v>
      </c>
      <c r="B36">
        <v>5</v>
      </c>
      <c r="C36">
        <v>36</v>
      </c>
      <c r="D36">
        <v>45</v>
      </c>
      <c r="E36">
        <v>9</v>
      </c>
      <c r="F36">
        <v>1</v>
      </c>
      <c r="G36" t="b">
        <v>1</v>
      </c>
      <c r="H36" t="b">
        <v>1</v>
      </c>
      <c r="I36" t="b">
        <v>1</v>
      </c>
    </row>
    <row r="37" spans="1:9" x14ac:dyDescent="0.35">
      <c r="A37" t="s">
        <v>53</v>
      </c>
      <c r="B37">
        <v>1</v>
      </c>
      <c r="C37">
        <v>15</v>
      </c>
      <c r="D37">
        <v>7</v>
      </c>
      <c r="E37">
        <v>3</v>
      </c>
      <c r="F37">
        <v>1</v>
      </c>
      <c r="G37" t="b">
        <v>1</v>
      </c>
      <c r="H37" t="b">
        <v>1</v>
      </c>
      <c r="I37" t="b">
        <v>1</v>
      </c>
    </row>
    <row r="38" spans="1:9" x14ac:dyDescent="0.35">
      <c r="A38" t="s">
        <v>53</v>
      </c>
      <c r="B38">
        <v>1</v>
      </c>
      <c r="C38">
        <v>19</v>
      </c>
      <c r="D38">
        <v>8</v>
      </c>
      <c r="E38">
        <v>3</v>
      </c>
      <c r="F38">
        <v>1</v>
      </c>
      <c r="G38" t="b">
        <v>1</v>
      </c>
      <c r="H38" t="b">
        <v>1</v>
      </c>
      <c r="I38" t="b">
        <v>1</v>
      </c>
    </row>
    <row r="39" spans="1:9" x14ac:dyDescent="0.35">
      <c r="A39" t="s">
        <v>50</v>
      </c>
      <c r="B39">
        <v>4</v>
      </c>
      <c r="C39">
        <v>2</v>
      </c>
      <c r="D39">
        <v>48</v>
      </c>
      <c r="E39">
        <v>4</v>
      </c>
      <c r="F39">
        <v>4</v>
      </c>
      <c r="G39" t="b">
        <v>1</v>
      </c>
      <c r="H39" t="b">
        <v>1</v>
      </c>
      <c r="I39" t="b">
        <v>1</v>
      </c>
    </row>
    <row r="40" spans="1:9" x14ac:dyDescent="0.35">
      <c r="A40" t="s">
        <v>52</v>
      </c>
      <c r="B40">
        <v>1</v>
      </c>
      <c r="C40">
        <v>1</v>
      </c>
      <c r="D40">
        <v>7</v>
      </c>
      <c r="E40">
        <v>1</v>
      </c>
      <c r="F40">
        <v>1</v>
      </c>
      <c r="G40" t="b">
        <v>1</v>
      </c>
      <c r="H40" t="b">
        <v>1</v>
      </c>
      <c r="I40" t="b">
        <v>1</v>
      </c>
    </row>
    <row r="41" spans="1:9" x14ac:dyDescent="0.35">
      <c r="A41" t="s">
        <v>53</v>
      </c>
      <c r="B41">
        <v>1</v>
      </c>
      <c r="C41">
        <v>19</v>
      </c>
      <c r="D41">
        <v>8</v>
      </c>
      <c r="E41">
        <v>3</v>
      </c>
      <c r="F41">
        <v>1</v>
      </c>
      <c r="G41" t="b">
        <v>1</v>
      </c>
      <c r="H41" t="b">
        <v>1</v>
      </c>
      <c r="I41" t="b">
        <v>1</v>
      </c>
    </row>
    <row r="42" spans="1:9" x14ac:dyDescent="0.35">
      <c r="A42" t="s">
        <v>50</v>
      </c>
      <c r="B42">
        <v>4</v>
      </c>
      <c r="C42">
        <v>2</v>
      </c>
      <c r="D42">
        <v>48</v>
      </c>
      <c r="E42">
        <v>4</v>
      </c>
      <c r="F42">
        <v>4</v>
      </c>
      <c r="G42" t="b">
        <v>1</v>
      </c>
      <c r="H42" t="b">
        <v>1</v>
      </c>
      <c r="I42" t="b">
        <v>1</v>
      </c>
    </row>
    <row r="43" spans="1:9" x14ac:dyDescent="0.35">
      <c r="A43" t="s">
        <v>52</v>
      </c>
      <c r="B43">
        <v>1</v>
      </c>
      <c r="C43">
        <v>1</v>
      </c>
      <c r="D43">
        <v>7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35">
      <c r="A44" t="s">
        <v>56</v>
      </c>
      <c r="B44">
        <v>1</v>
      </c>
      <c r="C44">
        <v>25</v>
      </c>
      <c r="D44">
        <v>8</v>
      </c>
      <c r="E44">
        <v>6</v>
      </c>
      <c r="F44">
        <v>1</v>
      </c>
      <c r="G44" t="b">
        <v>1</v>
      </c>
      <c r="H44" t="b">
        <v>1</v>
      </c>
      <c r="I44" t="b">
        <v>1</v>
      </c>
    </row>
    <row r="45" spans="1:9" x14ac:dyDescent="0.35">
      <c r="A45" t="s">
        <v>56</v>
      </c>
      <c r="B45">
        <v>1</v>
      </c>
      <c r="C45">
        <v>5</v>
      </c>
      <c r="D45">
        <v>1</v>
      </c>
      <c r="E45">
        <v>6</v>
      </c>
      <c r="F45">
        <v>1</v>
      </c>
      <c r="G45" t="b">
        <v>1</v>
      </c>
      <c r="H45" t="b">
        <v>1</v>
      </c>
      <c r="I45" t="b">
        <v>1</v>
      </c>
    </row>
    <row r="46" spans="1:9" x14ac:dyDescent="0.35">
      <c r="A46" t="s">
        <v>50</v>
      </c>
      <c r="B46">
        <v>4</v>
      </c>
      <c r="C46">
        <v>2</v>
      </c>
      <c r="D46">
        <v>48</v>
      </c>
      <c r="E46">
        <v>4</v>
      </c>
      <c r="F46">
        <v>4</v>
      </c>
      <c r="G46" t="b">
        <v>1</v>
      </c>
      <c r="H46" t="b">
        <v>1</v>
      </c>
      <c r="I46" t="b">
        <v>1</v>
      </c>
    </row>
    <row r="47" spans="1:9" x14ac:dyDescent="0.35">
      <c r="A47" t="s">
        <v>52</v>
      </c>
      <c r="B47">
        <v>1</v>
      </c>
      <c r="C47">
        <v>1</v>
      </c>
      <c r="D47">
        <v>7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35">
      <c r="A48" t="s">
        <v>57</v>
      </c>
      <c r="B48">
        <v>6</v>
      </c>
      <c r="C48">
        <v>20</v>
      </c>
      <c r="D48">
        <v>10</v>
      </c>
      <c r="E48">
        <v>18</v>
      </c>
      <c r="F48">
        <v>11</v>
      </c>
      <c r="G48" t="b">
        <v>1</v>
      </c>
      <c r="H48" t="b">
        <v>1</v>
      </c>
      <c r="I48" t="b">
        <v>1</v>
      </c>
    </row>
    <row r="49" spans="1:9" x14ac:dyDescent="0.35">
      <c r="A49" t="s">
        <v>56</v>
      </c>
      <c r="B49">
        <v>1</v>
      </c>
      <c r="C49">
        <v>6</v>
      </c>
      <c r="D49">
        <v>1</v>
      </c>
      <c r="E49">
        <v>6</v>
      </c>
      <c r="F49">
        <v>2</v>
      </c>
      <c r="G49" t="b">
        <v>1</v>
      </c>
      <c r="H49" t="b">
        <v>1</v>
      </c>
      <c r="I49" t="b">
        <v>1</v>
      </c>
    </row>
    <row r="50" spans="1:9" x14ac:dyDescent="0.35">
      <c r="A50" t="s">
        <v>58</v>
      </c>
      <c r="B50">
        <v>9</v>
      </c>
      <c r="C50">
        <v>12</v>
      </c>
      <c r="D50">
        <v>11</v>
      </c>
      <c r="E50">
        <v>8</v>
      </c>
      <c r="F50">
        <v>100021</v>
      </c>
      <c r="G50" t="b">
        <v>1</v>
      </c>
      <c r="H50" t="b">
        <v>1</v>
      </c>
      <c r="I50" t="b">
        <v>1</v>
      </c>
    </row>
    <row r="51" spans="1:9" x14ac:dyDescent="0.35">
      <c r="A51" t="s">
        <v>51</v>
      </c>
      <c r="B51">
        <v>4</v>
      </c>
      <c r="C51">
        <v>4</v>
      </c>
      <c r="D51">
        <v>6</v>
      </c>
      <c r="E51">
        <v>8</v>
      </c>
      <c r="F51">
        <v>1</v>
      </c>
      <c r="G51" t="b">
        <v>1</v>
      </c>
      <c r="H51" t="b">
        <v>1</v>
      </c>
      <c r="I51" t="b">
        <v>1</v>
      </c>
    </row>
    <row r="52" spans="1:9" x14ac:dyDescent="0.35">
      <c r="A52" t="s">
        <v>60</v>
      </c>
      <c r="B52">
        <v>65</v>
      </c>
      <c r="C52">
        <v>22</v>
      </c>
      <c r="D52">
        <v>125</v>
      </c>
      <c r="E52">
        <v>46</v>
      </c>
      <c r="F52">
        <v>300021</v>
      </c>
      <c r="G52" t="b">
        <v>1</v>
      </c>
      <c r="H52" t="b">
        <v>1</v>
      </c>
      <c r="I52" t="b">
        <v>1</v>
      </c>
    </row>
    <row r="53" spans="1:9" x14ac:dyDescent="0.35">
      <c r="A53" t="s">
        <v>55</v>
      </c>
      <c r="B53">
        <v>14</v>
      </c>
      <c r="C53">
        <v>68</v>
      </c>
      <c r="D53">
        <v>38</v>
      </c>
      <c r="E53">
        <v>22</v>
      </c>
      <c r="F53">
        <v>200021</v>
      </c>
      <c r="G53" t="b">
        <v>1</v>
      </c>
      <c r="H53" t="b">
        <v>1</v>
      </c>
      <c r="I53" t="b">
        <v>1</v>
      </c>
    </row>
    <row r="54" spans="1:9" x14ac:dyDescent="0.35">
      <c r="A54" t="s">
        <v>47</v>
      </c>
      <c r="B54">
        <v>1</v>
      </c>
      <c r="C54">
        <v>1</v>
      </c>
      <c r="D54">
        <v>1</v>
      </c>
      <c r="E54">
        <v>2</v>
      </c>
      <c r="F54">
        <v>3</v>
      </c>
      <c r="G54" t="b">
        <v>1</v>
      </c>
      <c r="H54" t="b">
        <v>1</v>
      </c>
      <c r="I54" t="b">
        <v>1</v>
      </c>
    </row>
    <row r="55" spans="1:9" x14ac:dyDescent="0.35">
      <c r="A55" t="s">
        <v>54</v>
      </c>
      <c r="B55">
        <v>2</v>
      </c>
      <c r="C55">
        <v>2</v>
      </c>
      <c r="D55">
        <v>10</v>
      </c>
      <c r="E55">
        <v>2</v>
      </c>
      <c r="F55">
        <v>1</v>
      </c>
      <c r="G55" t="b">
        <v>1</v>
      </c>
      <c r="H55" t="b">
        <v>1</v>
      </c>
      <c r="I55" t="b">
        <v>1</v>
      </c>
    </row>
    <row r="56" spans="1:9" x14ac:dyDescent="0.35">
      <c r="A56" t="s">
        <v>48</v>
      </c>
      <c r="B56">
        <v>6</v>
      </c>
      <c r="C56">
        <v>15</v>
      </c>
      <c r="D56">
        <v>16</v>
      </c>
      <c r="E56">
        <v>20</v>
      </c>
      <c r="F56">
        <v>3</v>
      </c>
      <c r="G56" t="b">
        <v>1</v>
      </c>
      <c r="H56" t="b">
        <v>1</v>
      </c>
      <c r="I56" t="b">
        <v>1</v>
      </c>
    </row>
    <row r="57" spans="1:9" x14ac:dyDescent="0.35">
      <c r="A57" t="s">
        <v>59</v>
      </c>
      <c r="B57">
        <v>35</v>
      </c>
      <c r="C57">
        <v>11</v>
      </c>
      <c r="D57">
        <v>103</v>
      </c>
      <c r="E57">
        <v>8</v>
      </c>
      <c r="F57">
        <v>210121</v>
      </c>
      <c r="G57" t="b">
        <v>1</v>
      </c>
      <c r="H57" t="b">
        <v>1</v>
      </c>
      <c r="I57" t="b">
        <v>1</v>
      </c>
    </row>
    <row r="58" spans="1:9" x14ac:dyDescent="0.35">
      <c r="A58" t="s">
        <v>54</v>
      </c>
      <c r="B58">
        <v>1</v>
      </c>
      <c r="C58">
        <v>4</v>
      </c>
      <c r="D58">
        <v>44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35">
      <c r="A59" t="s">
        <v>35</v>
      </c>
      <c r="B59">
        <v>3</v>
      </c>
      <c r="C59">
        <v>3</v>
      </c>
      <c r="D59">
        <v>4</v>
      </c>
      <c r="E59">
        <v>6</v>
      </c>
      <c r="F59">
        <v>1</v>
      </c>
      <c r="G59" t="b">
        <v>1</v>
      </c>
      <c r="H59" t="b">
        <v>1</v>
      </c>
      <c r="I59" t="b">
        <v>1</v>
      </c>
    </row>
    <row r="60" spans="1:9" x14ac:dyDescent="0.35">
      <c r="A60" t="s">
        <v>35</v>
      </c>
      <c r="B60">
        <v>3</v>
      </c>
      <c r="C60">
        <v>3</v>
      </c>
      <c r="D60">
        <v>4</v>
      </c>
      <c r="E60">
        <v>6</v>
      </c>
      <c r="F60">
        <v>2</v>
      </c>
      <c r="G60" t="b">
        <v>1</v>
      </c>
      <c r="H60" t="b">
        <v>1</v>
      </c>
      <c r="I60" t="b">
        <v>1</v>
      </c>
    </row>
    <row r="61" spans="1:9" x14ac:dyDescent="0.35">
      <c r="A61" t="s">
        <v>51</v>
      </c>
      <c r="B61">
        <v>5</v>
      </c>
      <c r="C61">
        <v>61</v>
      </c>
      <c r="D61">
        <v>45</v>
      </c>
      <c r="E61">
        <v>9</v>
      </c>
      <c r="F61">
        <v>2</v>
      </c>
      <c r="G61" t="b">
        <v>1</v>
      </c>
      <c r="H61" t="b">
        <v>1</v>
      </c>
      <c r="I61" t="b">
        <v>1</v>
      </c>
    </row>
    <row r="62" spans="1:9" x14ac:dyDescent="0.35">
      <c r="A62" t="s">
        <v>49</v>
      </c>
      <c r="B62">
        <v>8</v>
      </c>
      <c r="C62">
        <v>66</v>
      </c>
      <c r="D62">
        <v>50</v>
      </c>
      <c r="E62">
        <v>10</v>
      </c>
      <c r="F62">
        <v>6</v>
      </c>
      <c r="G62" t="b">
        <v>1</v>
      </c>
      <c r="H62" t="b">
        <v>1</v>
      </c>
      <c r="I62" t="b">
        <v>1</v>
      </c>
    </row>
    <row r="63" spans="1:9" x14ac:dyDescent="0.35">
      <c r="A63" t="s">
        <v>51</v>
      </c>
      <c r="B63">
        <v>5</v>
      </c>
      <c r="C63">
        <v>61</v>
      </c>
      <c r="D63">
        <v>45</v>
      </c>
      <c r="E63">
        <v>9</v>
      </c>
      <c r="F63">
        <v>2</v>
      </c>
      <c r="G63" t="b">
        <v>1</v>
      </c>
      <c r="H63" t="b">
        <v>1</v>
      </c>
      <c r="I63" t="b">
        <v>1</v>
      </c>
    </row>
    <row r="64" spans="1:9" x14ac:dyDescent="0.35">
      <c r="A64" t="s">
        <v>49</v>
      </c>
      <c r="B64">
        <v>8</v>
      </c>
      <c r="C64">
        <v>66</v>
      </c>
      <c r="D64">
        <v>50</v>
      </c>
      <c r="E64">
        <v>10</v>
      </c>
      <c r="F64">
        <v>6</v>
      </c>
      <c r="G64" t="b">
        <v>1</v>
      </c>
      <c r="H64" t="b">
        <v>1</v>
      </c>
      <c r="I64" t="b">
        <v>1</v>
      </c>
    </row>
    <row r="65" spans="1:9" x14ac:dyDescent="0.35">
      <c r="A65" t="s">
        <v>51</v>
      </c>
      <c r="B65">
        <v>5</v>
      </c>
      <c r="C65">
        <v>61</v>
      </c>
      <c r="D65">
        <v>45</v>
      </c>
      <c r="E65">
        <v>9</v>
      </c>
      <c r="F65">
        <v>2</v>
      </c>
      <c r="G65" t="b">
        <v>1</v>
      </c>
      <c r="H65" t="b">
        <v>1</v>
      </c>
      <c r="I65" t="b">
        <v>1</v>
      </c>
    </row>
    <row r="66" spans="1:9" x14ac:dyDescent="0.35">
      <c r="A66" t="s">
        <v>49</v>
      </c>
      <c r="B66">
        <v>6</v>
      </c>
      <c r="C66">
        <v>66</v>
      </c>
      <c r="D66">
        <v>50</v>
      </c>
      <c r="E66">
        <v>10</v>
      </c>
      <c r="F66">
        <v>2</v>
      </c>
      <c r="G66" t="b">
        <v>1</v>
      </c>
      <c r="H66" t="b">
        <v>1</v>
      </c>
      <c r="I66" t="b">
        <v>1</v>
      </c>
    </row>
    <row r="67" spans="1:9" x14ac:dyDescent="0.35">
      <c r="A67" t="s">
        <v>53</v>
      </c>
      <c r="B67">
        <v>1</v>
      </c>
      <c r="C67">
        <v>15</v>
      </c>
      <c r="D67">
        <v>7</v>
      </c>
      <c r="E67">
        <v>3</v>
      </c>
      <c r="F67">
        <v>1</v>
      </c>
      <c r="G67" t="b">
        <v>1</v>
      </c>
      <c r="H67" t="b">
        <v>1</v>
      </c>
      <c r="I67" t="b">
        <v>1</v>
      </c>
    </row>
    <row r="68" spans="1:9" x14ac:dyDescent="0.35">
      <c r="A68" t="s">
        <v>52</v>
      </c>
      <c r="B68">
        <v>1</v>
      </c>
      <c r="C68">
        <v>1</v>
      </c>
      <c r="D68">
        <v>8</v>
      </c>
      <c r="E68">
        <v>1</v>
      </c>
      <c r="F68">
        <v>1</v>
      </c>
      <c r="G68" t="b">
        <v>1</v>
      </c>
      <c r="H68" t="b">
        <v>1</v>
      </c>
      <c r="I68" t="b">
        <v>1</v>
      </c>
    </row>
    <row r="69" spans="1:9" x14ac:dyDescent="0.35">
      <c r="A69" t="s">
        <v>53</v>
      </c>
      <c r="B69">
        <v>1</v>
      </c>
      <c r="C69">
        <v>7</v>
      </c>
      <c r="D69">
        <v>5</v>
      </c>
      <c r="E69">
        <v>10</v>
      </c>
      <c r="F69">
        <v>3</v>
      </c>
      <c r="G69" t="b">
        <v>1</v>
      </c>
      <c r="H69" t="b">
        <v>1</v>
      </c>
      <c r="I69" t="b">
        <v>1</v>
      </c>
    </row>
    <row r="70" spans="1:9" x14ac:dyDescent="0.35">
      <c r="A70" t="s">
        <v>50</v>
      </c>
      <c r="B70">
        <v>4</v>
      </c>
      <c r="C70">
        <v>2</v>
      </c>
      <c r="D70">
        <v>48</v>
      </c>
      <c r="E70">
        <v>4</v>
      </c>
      <c r="F70">
        <v>4</v>
      </c>
      <c r="G70" t="b">
        <v>1</v>
      </c>
      <c r="H70" t="b">
        <v>1</v>
      </c>
      <c r="I70" t="b">
        <v>1</v>
      </c>
    </row>
    <row r="71" spans="1:9" x14ac:dyDescent="0.35">
      <c r="A71" t="s">
        <v>52</v>
      </c>
      <c r="B71">
        <v>1</v>
      </c>
      <c r="C71">
        <v>1</v>
      </c>
      <c r="D71">
        <v>7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35">
      <c r="A72" t="s">
        <v>61</v>
      </c>
      <c r="B72">
        <v>1</v>
      </c>
      <c r="C72">
        <v>1</v>
      </c>
      <c r="D72">
        <v>8</v>
      </c>
      <c r="E72">
        <v>2</v>
      </c>
      <c r="F72">
        <v>1</v>
      </c>
      <c r="G72" t="b">
        <v>1</v>
      </c>
      <c r="H72" t="b">
        <v>1</v>
      </c>
      <c r="I72" t="b">
        <v>1</v>
      </c>
    </row>
    <row r="73" spans="1:9" x14ac:dyDescent="0.35">
      <c r="A73" t="s">
        <v>53</v>
      </c>
      <c r="B73">
        <v>1</v>
      </c>
      <c r="C73">
        <v>8</v>
      </c>
      <c r="D73">
        <v>5</v>
      </c>
      <c r="E73">
        <v>11</v>
      </c>
      <c r="F73">
        <v>3</v>
      </c>
      <c r="G73" t="b">
        <v>1</v>
      </c>
      <c r="H73" t="b">
        <v>1</v>
      </c>
      <c r="I73" t="b">
        <v>1</v>
      </c>
    </row>
    <row r="74" spans="1:9" x14ac:dyDescent="0.35">
      <c r="A74" t="s">
        <v>62</v>
      </c>
      <c r="B74">
        <v>2</v>
      </c>
      <c r="C74">
        <v>2</v>
      </c>
      <c r="D74">
        <v>9</v>
      </c>
      <c r="E74">
        <v>3</v>
      </c>
      <c r="F74">
        <v>1</v>
      </c>
      <c r="G74" t="b">
        <v>1</v>
      </c>
      <c r="H74" t="b">
        <v>1</v>
      </c>
      <c r="I74" t="b">
        <v>1</v>
      </c>
    </row>
    <row r="75" spans="1:9" x14ac:dyDescent="0.35">
      <c r="A75" t="s">
        <v>53</v>
      </c>
      <c r="B75">
        <v>6</v>
      </c>
      <c r="C75">
        <v>15</v>
      </c>
      <c r="D75">
        <v>11</v>
      </c>
      <c r="E75">
        <v>13</v>
      </c>
      <c r="F75">
        <v>3</v>
      </c>
      <c r="G75" t="b">
        <v>1</v>
      </c>
      <c r="H75" t="b">
        <v>1</v>
      </c>
      <c r="I75" t="b">
        <v>1</v>
      </c>
    </row>
    <row r="76" spans="1:9" x14ac:dyDescent="0.35">
      <c r="A76" t="s">
        <v>50</v>
      </c>
      <c r="B76">
        <v>4</v>
      </c>
      <c r="C76">
        <v>2</v>
      </c>
      <c r="D76">
        <v>48</v>
      </c>
      <c r="E76">
        <v>4</v>
      </c>
      <c r="F76">
        <v>4</v>
      </c>
      <c r="G76" t="b">
        <v>1</v>
      </c>
      <c r="H76" t="b">
        <v>1</v>
      </c>
      <c r="I76" t="b">
        <v>1</v>
      </c>
    </row>
    <row r="77" spans="1:9" x14ac:dyDescent="0.35">
      <c r="A77" t="s">
        <v>52</v>
      </c>
      <c r="B77">
        <v>1</v>
      </c>
      <c r="C77">
        <v>1</v>
      </c>
      <c r="D77">
        <v>7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35">
      <c r="A78" t="s">
        <v>56</v>
      </c>
      <c r="B78">
        <v>1</v>
      </c>
      <c r="C78">
        <v>3</v>
      </c>
      <c r="D78">
        <v>3</v>
      </c>
      <c r="E78">
        <v>3</v>
      </c>
      <c r="F78">
        <v>3</v>
      </c>
      <c r="G78" t="b">
        <v>1</v>
      </c>
      <c r="H78" t="b">
        <v>1</v>
      </c>
      <c r="I78" t="b">
        <v>1</v>
      </c>
    </row>
    <row r="79" spans="1:9" x14ac:dyDescent="0.35">
      <c r="A79" t="s">
        <v>56</v>
      </c>
      <c r="B79">
        <v>1</v>
      </c>
      <c r="C79">
        <v>5</v>
      </c>
      <c r="D79">
        <v>1</v>
      </c>
      <c r="E79">
        <v>6</v>
      </c>
      <c r="F79">
        <v>1</v>
      </c>
      <c r="G79" t="b">
        <v>1</v>
      </c>
      <c r="H79" t="b">
        <v>1</v>
      </c>
      <c r="I79" t="b">
        <v>1</v>
      </c>
    </row>
    <row r="80" spans="1:9" x14ac:dyDescent="0.35">
      <c r="A80" t="s">
        <v>50</v>
      </c>
      <c r="B80">
        <v>4</v>
      </c>
      <c r="C80">
        <v>2</v>
      </c>
      <c r="D80">
        <v>48</v>
      </c>
      <c r="E80">
        <v>4</v>
      </c>
      <c r="F80">
        <v>4</v>
      </c>
      <c r="G80" t="b">
        <v>1</v>
      </c>
      <c r="H80" t="b">
        <v>1</v>
      </c>
      <c r="I80" t="b">
        <v>1</v>
      </c>
    </row>
    <row r="81" spans="1:9" x14ac:dyDescent="0.35">
      <c r="A81" t="s">
        <v>52</v>
      </c>
      <c r="B81">
        <v>1</v>
      </c>
      <c r="C81">
        <v>1</v>
      </c>
      <c r="D81">
        <v>7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35">
      <c r="A82" t="s">
        <v>57</v>
      </c>
      <c r="B82">
        <v>6</v>
      </c>
      <c r="C82">
        <v>20</v>
      </c>
      <c r="D82">
        <v>10</v>
      </c>
      <c r="E82">
        <v>18</v>
      </c>
      <c r="F82">
        <v>11</v>
      </c>
      <c r="G82" t="b">
        <v>1</v>
      </c>
      <c r="H82" t="b">
        <v>1</v>
      </c>
      <c r="I82" t="b">
        <v>1</v>
      </c>
    </row>
    <row r="83" spans="1:9" x14ac:dyDescent="0.35">
      <c r="A83" t="s">
        <v>56</v>
      </c>
      <c r="B83">
        <v>1</v>
      </c>
      <c r="C83">
        <v>6</v>
      </c>
      <c r="D83">
        <v>1</v>
      </c>
      <c r="E83">
        <v>6</v>
      </c>
      <c r="F83">
        <v>2</v>
      </c>
      <c r="G83" t="b">
        <v>1</v>
      </c>
      <c r="H83" t="b">
        <v>1</v>
      </c>
      <c r="I83" t="b">
        <v>1</v>
      </c>
    </row>
    <row r="84" spans="1:9" x14ac:dyDescent="0.35">
      <c r="A84" t="s">
        <v>51</v>
      </c>
      <c r="B84">
        <v>4</v>
      </c>
      <c r="C84">
        <v>4</v>
      </c>
      <c r="D84">
        <v>6</v>
      </c>
      <c r="E84">
        <v>8</v>
      </c>
      <c r="F84">
        <v>1</v>
      </c>
      <c r="G84" t="b">
        <v>1</v>
      </c>
      <c r="H84" t="b">
        <v>1</v>
      </c>
      <c r="I84" t="b">
        <v>1</v>
      </c>
    </row>
    <row r="85" spans="1:9" x14ac:dyDescent="0.35">
      <c r="A85" t="s">
        <v>60</v>
      </c>
      <c r="B85">
        <v>65</v>
      </c>
      <c r="C85">
        <v>22</v>
      </c>
      <c r="D85">
        <v>125</v>
      </c>
      <c r="E85">
        <v>46</v>
      </c>
      <c r="F85">
        <v>300021</v>
      </c>
      <c r="G85" t="b">
        <v>1</v>
      </c>
      <c r="H85" t="b">
        <v>1</v>
      </c>
      <c r="I85" t="b">
        <v>1</v>
      </c>
    </row>
    <row r="86" spans="1:9" x14ac:dyDescent="0.35">
      <c r="A86" t="s">
        <v>55</v>
      </c>
      <c r="B86">
        <v>14</v>
      </c>
      <c r="C86">
        <v>68</v>
      </c>
      <c r="D86">
        <v>38</v>
      </c>
      <c r="E86">
        <v>22</v>
      </c>
      <c r="F86">
        <v>200021</v>
      </c>
      <c r="G86" t="b">
        <v>1</v>
      </c>
      <c r="H86" t="b">
        <v>1</v>
      </c>
      <c r="I86" t="b">
        <v>1</v>
      </c>
    </row>
    <row r="87" spans="1:9" x14ac:dyDescent="0.35">
      <c r="A87" t="s">
        <v>47</v>
      </c>
      <c r="B87">
        <v>1</v>
      </c>
      <c r="C87">
        <v>1</v>
      </c>
      <c r="D87">
        <v>1</v>
      </c>
      <c r="E87">
        <v>2</v>
      </c>
      <c r="F87">
        <v>3</v>
      </c>
      <c r="G87" t="b">
        <v>1</v>
      </c>
      <c r="H87" t="b">
        <v>1</v>
      </c>
      <c r="I87" t="b">
        <v>1</v>
      </c>
    </row>
    <row r="88" spans="1:9" x14ac:dyDescent="0.35">
      <c r="A88" t="s">
        <v>54</v>
      </c>
      <c r="B88">
        <v>2</v>
      </c>
      <c r="C88">
        <v>2</v>
      </c>
      <c r="D88">
        <v>10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35">
      <c r="A89" t="s">
        <v>48</v>
      </c>
      <c r="B89">
        <v>6</v>
      </c>
      <c r="C89">
        <v>15</v>
      </c>
      <c r="D89">
        <v>16</v>
      </c>
      <c r="E89">
        <v>20</v>
      </c>
      <c r="F89">
        <v>3</v>
      </c>
      <c r="G89" t="b">
        <v>1</v>
      </c>
      <c r="H89" t="b">
        <v>1</v>
      </c>
      <c r="I89" t="b">
        <v>1</v>
      </c>
    </row>
    <row r="90" spans="1:9" x14ac:dyDescent="0.35">
      <c r="A90" t="s">
        <v>59</v>
      </c>
      <c r="B90">
        <v>35</v>
      </c>
      <c r="C90">
        <v>11</v>
      </c>
      <c r="D90">
        <v>103</v>
      </c>
      <c r="E90">
        <v>8</v>
      </c>
      <c r="F90">
        <v>210121</v>
      </c>
      <c r="G90" t="b">
        <v>1</v>
      </c>
      <c r="H90" t="b">
        <v>1</v>
      </c>
      <c r="I90" t="b">
        <v>1</v>
      </c>
    </row>
    <row r="91" spans="1:9" x14ac:dyDescent="0.35">
      <c r="A91" t="s">
        <v>54</v>
      </c>
      <c r="B91">
        <v>1</v>
      </c>
      <c r="C91">
        <v>4</v>
      </c>
      <c r="D91">
        <v>44</v>
      </c>
      <c r="E91">
        <v>1</v>
      </c>
      <c r="F91">
        <v>1</v>
      </c>
      <c r="G91" t="b">
        <v>1</v>
      </c>
      <c r="H91" t="b">
        <v>1</v>
      </c>
      <c r="I91" t="b">
        <v>1</v>
      </c>
    </row>
    <row r="92" spans="1:9" x14ac:dyDescent="0.35">
      <c r="A92" t="s">
        <v>47</v>
      </c>
      <c r="B92">
        <v>2</v>
      </c>
      <c r="C92">
        <v>2</v>
      </c>
      <c r="D92">
        <v>2</v>
      </c>
      <c r="E92">
        <v>5</v>
      </c>
      <c r="F92">
        <v>1</v>
      </c>
      <c r="G92" t="b">
        <v>1</v>
      </c>
      <c r="H92" t="b">
        <v>1</v>
      </c>
      <c r="I92" t="b">
        <v>1</v>
      </c>
    </row>
    <row r="93" spans="1:9" x14ac:dyDescent="0.35">
      <c r="A93" t="s">
        <v>35</v>
      </c>
      <c r="B93">
        <v>3</v>
      </c>
      <c r="C93">
        <v>3</v>
      </c>
      <c r="D93">
        <v>4</v>
      </c>
      <c r="E93">
        <v>6</v>
      </c>
      <c r="F93">
        <v>1</v>
      </c>
      <c r="G93" t="b">
        <v>1</v>
      </c>
      <c r="H93" t="b">
        <v>1</v>
      </c>
      <c r="I93" t="b">
        <v>1</v>
      </c>
    </row>
    <row r="94" spans="1:9" x14ac:dyDescent="0.35">
      <c r="A94" t="s">
        <v>35</v>
      </c>
      <c r="B94">
        <v>3</v>
      </c>
      <c r="C94">
        <v>3</v>
      </c>
      <c r="D94">
        <v>4</v>
      </c>
      <c r="E94">
        <v>6</v>
      </c>
      <c r="F94">
        <v>2</v>
      </c>
      <c r="G94" t="b">
        <v>1</v>
      </c>
      <c r="H94" t="b">
        <v>1</v>
      </c>
      <c r="I94" t="b">
        <v>1</v>
      </c>
    </row>
    <row r="95" spans="1:9" x14ac:dyDescent="0.35">
      <c r="A95" t="s">
        <v>51</v>
      </c>
      <c r="B95">
        <v>4</v>
      </c>
      <c r="C95">
        <v>31</v>
      </c>
      <c r="D95">
        <v>40</v>
      </c>
      <c r="E95">
        <v>8</v>
      </c>
      <c r="F95">
        <v>2</v>
      </c>
      <c r="G95" t="b">
        <v>1</v>
      </c>
      <c r="H95" t="b">
        <v>1</v>
      </c>
      <c r="I95" t="b">
        <v>1</v>
      </c>
    </row>
    <row r="96" spans="1:9" x14ac:dyDescent="0.35">
      <c r="A96" t="s">
        <v>49</v>
      </c>
      <c r="B96">
        <v>5</v>
      </c>
      <c r="C96">
        <v>36</v>
      </c>
      <c r="D96">
        <v>45</v>
      </c>
      <c r="E96">
        <v>9</v>
      </c>
      <c r="F96">
        <v>2</v>
      </c>
      <c r="G96" t="b">
        <v>1</v>
      </c>
      <c r="H96" t="b">
        <v>1</v>
      </c>
      <c r="I96" t="b">
        <v>1</v>
      </c>
    </row>
    <row r="97" spans="1:9" x14ac:dyDescent="0.35">
      <c r="A97" t="s">
        <v>51</v>
      </c>
      <c r="B97">
        <v>4</v>
      </c>
      <c r="C97">
        <v>31</v>
      </c>
      <c r="D97">
        <v>40</v>
      </c>
      <c r="E97">
        <v>8</v>
      </c>
      <c r="F97">
        <v>2</v>
      </c>
      <c r="G97" t="b">
        <v>1</v>
      </c>
      <c r="H97" t="b">
        <v>1</v>
      </c>
      <c r="I97" t="b">
        <v>1</v>
      </c>
    </row>
    <row r="98" spans="1:9" x14ac:dyDescent="0.35">
      <c r="A98" t="s">
        <v>49</v>
      </c>
      <c r="B98">
        <v>5</v>
      </c>
      <c r="C98">
        <v>36</v>
      </c>
      <c r="D98">
        <v>45</v>
      </c>
      <c r="E98">
        <v>9</v>
      </c>
      <c r="F98">
        <v>1</v>
      </c>
      <c r="G98" t="b">
        <v>1</v>
      </c>
      <c r="H98" t="b">
        <v>1</v>
      </c>
      <c r="I98" t="b">
        <v>1</v>
      </c>
    </row>
    <row r="99" spans="1:9" x14ac:dyDescent="0.35">
      <c r="A99" t="s">
        <v>53</v>
      </c>
      <c r="B99">
        <v>1</v>
      </c>
      <c r="C99">
        <v>15</v>
      </c>
      <c r="D99">
        <v>7</v>
      </c>
      <c r="E99">
        <v>3</v>
      </c>
      <c r="F99">
        <v>1</v>
      </c>
      <c r="G99" t="b">
        <v>1</v>
      </c>
      <c r="H99" t="b">
        <v>1</v>
      </c>
      <c r="I99" t="b">
        <v>1</v>
      </c>
    </row>
    <row r="100" spans="1:9" x14ac:dyDescent="0.35">
      <c r="A100" t="s">
        <v>53</v>
      </c>
      <c r="B100">
        <v>1</v>
      </c>
      <c r="C100">
        <v>19</v>
      </c>
      <c r="D100">
        <v>8</v>
      </c>
      <c r="E100">
        <v>3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35">
      <c r="A101" t="s">
        <v>63</v>
      </c>
      <c r="B101">
        <v>8</v>
      </c>
      <c r="C101">
        <v>20</v>
      </c>
      <c r="D101">
        <v>24</v>
      </c>
      <c r="E101">
        <v>14</v>
      </c>
      <c r="F101">
        <v>3</v>
      </c>
      <c r="G101" t="b">
        <v>1</v>
      </c>
      <c r="H101" t="b">
        <v>1</v>
      </c>
      <c r="I101" t="b">
        <v>1</v>
      </c>
    </row>
    <row r="102" spans="1:9" x14ac:dyDescent="0.35">
      <c r="A102" t="s">
        <v>53</v>
      </c>
      <c r="B102">
        <v>1</v>
      </c>
      <c r="C102">
        <v>15</v>
      </c>
      <c r="D102">
        <v>7</v>
      </c>
      <c r="E102">
        <v>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35">
      <c r="A103" t="s">
        <v>53</v>
      </c>
      <c r="B103">
        <v>1</v>
      </c>
      <c r="C103">
        <v>19</v>
      </c>
      <c r="D103">
        <v>8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35">
      <c r="A104" t="s">
        <v>52</v>
      </c>
      <c r="B104">
        <v>1</v>
      </c>
      <c r="C104">
        <v>1</v>
      </c>
      <c r="D104">
        <v>7</v>
      </c>
      <c r="E104">
        <v>1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35">
      <c r="A105" t="s">
        <v>49</v>
      </c>
      <c r="B105">
        <v>6</v>
      </c>
      <c r="C105">
        <v>50</v>
      </c>
      <c r="D105">
        <v>46</v>
      </c>
      <c r="E105">
        <v>10</v>
      </c>
      <c r="F105">
        <v>2</v>
      </c>
      <c r="G105" t="b">
        <v>1</v>
      </c>
      <c r="H105" t="b">
        <v>1</v>
      </c>
      <c r="I105" t="b">
        <v>1</v>
      </c>
    </row>
    <row r="106" spans="1:9" x14ac:dyDescent="0.35">
      <c r="A106" t="s">
        <v>56</v>
      </c>
      <c r="B106">
        <v>1</v>
      </c>
      <c r="C106">
        <v>25</v>
      </c>
      <c r="D106">
        <v>8</v>
      </c>
      <c r="E106">
        <v>6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35">
      <c r="A107" t="s">
        <v>56</v>
      </c>
      <c r="B107">
        <v>1</v>
      </c>
      <c r="C107">
        <v>5</v>
      </c>
      <c r="D107">
        <v>1</v>
      </c>
      <c r="E107">
        <v>6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35">
      <c r="A108" t="s">
        <v>52</v>
      </c>
      <c r="B108">
        <v>1</v>
      </c>
      <c r="C108">
        <v>1</v>
      </c>
      <c r="D108">
        <v>7</v>
      </c>
      <c r="E108">
        <v>1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35">
      <c r="A109" t="s">
        <v>49</v>
      </c>
      <c r="B109">
        <v>4</v>
      </c>
      <c r="C109">
        <v>47</v>
      </c>
      <c r="D109">
        <v>44</v>
      </c>
      <c r="E109">
        <v>4</v>
      </c>
      <c r="F109">
        <v>2</v>
      </c>
      <c r="G109" t="b">
        <v>1</v>
      </c>
      <c r="H109" t="b">
        <v>1</v>
      </c>
      <c r="I109" t="b">
        <v>1</v>
      </c>
    </row>
    <row r="110" spans="1:9" x14ac:dyDescent="0.35">
      <c r="A110" t="s">
        <v>57</v>
      </c>
      <c r="B110">
        <v>6</v>
      </c>
      <c r="C110">
        <v>20</v>
      </c>
      <c r="D110">
        <v>10</v>
      </c>
      <c r="E110">
        <v>18</v>
      </c>
      <c r="F110">
        <v>11</v>
      </c>
      <c r="G110" t="b">
        <v>1</v>
      </c>
      <c r="H110" t="b">
        <v>1</v>
      </c>
      <c r="I110" t="b">
        <v>1</v>
      </c>
    </row>
    <row r="111" spans="1:9" x14ac:dyDescent="0.35">
      <c r="A111" t="s">
        <v>56</v>
      </c>
      <c r="B111">
        <v>1</v>
      </c>
      <c r="C111">
        <v>6</v>
      </c>
      <c r="D111">
        <v>1</v>
      </c>
      <c r="E111">
        <v>6</v>
      </c>
      <c r="F111">
        <v>2</v>
      </c>
      <c r="G111" t="b">
        <v>1</v>
      </c>
      <c r="H111" t="b">
        <v>1</v>
      </c>
      <c r="I111" t="b">
        <v>1</v>
      </c>
    </row>
    <row r="112" spans="1:9" x14ac:dyDescent="0.35">
      <c r="A112" t="s">
        <v>51</v>
      </c>
      <c r="B112">
        <v>4</v>
      </c>
      <c r="C112">
        <v>4</v>
      </c>
      <c r="D112">
        <v>6</v>
      </c>
      <c r="E112">
        <v>8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35">
      <c r="A113" t="s">
        <v>56</v>
      </c>
      <c r="B113">
        <v>1</v>
      </c>
      <c r="C113">
        <v>25</v>
      </c>
      <c r="D113">
        <v>8</v>
      </c>
      <c r="E113">
        <v>6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35">
      <c r="A114" t="s">
        <v>52</v>
      </c>
      <c r="B114">
        <v>1</v>
      </c>
      <c r="C114">
        <v>1</v>
      </c>
      <c r="D114">
        <v>7</v>
      </c>
      <c r="E114">
        <v>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35">
      <c r="A115" t="s">
        <v>64</v>
      </c>
      <c r="B115">
        <v>5</v>
      </c>
      <c r="C115">
        <v>10</v>
      </c>
      <c r="D115">
        <v>82</v>
      </c>
      <c r="E115">
        <v>7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35">
      <c r="A116" t="s">
        <v>54</v>
      </c>
      <c r="B116">
        <v>1</v>
      </c>
      <c r="C116">
        <v>2</v>
      </c>
      <c r="D116">
        <v>24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35">
      <c r="A117" t="s">
        <v>54</v>
      </c>
      <c r="B117">
        <v>1</v>
      </c>
      <c r="C117">
        <v>1</v>
      </c>
      <c r="D117">
        <v>23</v>
      </c>
      <c r="E117">
        <v>1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35">
      <c r="A118" t="s">
        <v>49</v>
      </c>
      <c r="B118">
        <v>6</v>
      </c>
      <c r="C118">
        <v>66</v>
      </c>
      <c r="D118">
        <v>50</v>
      </c>
      <c r="E118">
        <v>10</v>
      </c>
      <c r="F118">
        <v>2</v>
      </c>
      <c r="G118" t="b">
        <v>1</v>
      </c>
      <c r="H118" t="b">
        <v>1</v>
      </c>
      <c r="I118" t="b">
        <v>1</v>
      </c>
    </row>
    <row r="119" spans="1:9" x14ac:dyDescent="0.35">
      <c r="A119" t="s">
        <v>47</v>
      </c>
      <c r="B119">
        <v>2</v>
      </c>
      <c r="C119">
        <v>2</v>
      </c>
      <c r="D119">
        <v>2</v>
      </c>
      <c r="E119">
        <v>5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35">
      <c r="A120" t="s">
        <v>73</v>
      </c>
      <c r="B120">
        <v>2</v>
      </c>
      <c r="C120">
        <v>2</v>
      </c>
      <c r="D120">
        <v>2</v>
      </c>
      <c r="E120">
        <v>4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35">
      <c r="A121" t="s">
        <v>74</v>
      </c>
      <c r="B121">
        <v>1</v>
      </c>
      <c r="C121">
        <v>1</v>
      </c>
      <c r="D121">
        <v>1</v>
      </c>
      <c r="E121">
        <v>8</v>
      </c>
      <c r="F121">
        <v>2</v>
      </c>
      <c r="G121" t="b">
        <v>1</v>
      </c>
      <c r="H121" t="b">
        <v>1</v>
      </c>
      <c r="I121" t="b">
        <v>1</v>
      </c>
    </row>
    <row r="122" spans="1:9" x14ac:dyDescent="0.35">
      <c r="A122" t="s">
        <v>51</v>
      </c>
      <c r="B122">
        <v>6</v>
      </c>
      <c r="C122">
        <v>17</v>
      </c>
      <c r="D122">
        <v>19</v>
      </c>
      <c r="E122">
        <v>9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35">
      <c r="A123" t="s">
        <v>65</v>
      </c>
      <c r="B123">
        <v>4</v>
      </c>
      <c r="C123">
        <v>10</v>
      </c>
      <c r="D123">
        <v>11</v>
      </c>
      <c r="E123">
        <v>10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35">
      <c r="A124" t="s">
        <v>74</v>
      </c>
      <c r="B124">
        <v>1</v>
      </c>
      <c r="C124">
        <v>1</v>
      </c>
      <c r="D124">
        <v>1</v>
      </c>
      <c r="E124">
        <v>2</v>
      </c>
      <c r="F124">
        <v>2</v>
      </c>
      <c r="G124" t="b">
        <v>1</v>
      </c>
      <c r="H124" t="b">
        <v>1</v>
      </c>
      <c r="I124" t="b">
        <v>1</v>
      </c>
    </row>
    <row r="125" spans="1:9" x14ac:dyDescent="0.35">
      <c r="A125" t="s">
        <v>52</v>
      </c>
      <c r="B125">
        <v>1</v>
      </c>
      <c r="C125">
        <v>1</v>
      </c>
      <c r="D125">
        <v>6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35">
      <c r="A126" t="s">
        <v>67</v>
      </c>
      <c r="B126">
        <v>1</v>
      </c>
      <c r="C126">
        <v>1</v>
      </c>
      <c r="D126">
        <v>13</v>
      </c>
      <c r="E126">
        <v>3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35">
      <c r="A127" t="s">
        <v>69</v>
      </c>
      <c r="B127">
        <v>2</v>
      </c>
      <c r="C127">
        <v>12</v>
      </c>
      <c r="D127">
        <v>4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35">
      <c r="A128" t="s">
        <v>54</v>
      </c>
      <c r="B128">
        <v>1</v>
      </c>
      <c r="C128">
        <v>1</v>
      </c>
      <c r="D128">
        <v>3</v>
      </c>
      <c r="E128">
        <v>4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35">
      <c r="A129" t="s">
        <v>54</v>
      </c>
      <c r="B129">
        <v>1</v>
      </c>
      <c r="C129">
        <v>1</v>
      </c>
      <c r="D129">
        <v>3</v>
      </c>
      <c r="E129">
        <v>4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35">
      <c r="A130" t="s">
        <v>51</v>
      </c>
      <c r="B130">
        <v>3</v>
      </c>
      <c r="C130">
        <v>21</v>
      </c>
      <c r="D130">
        <v>16</v>
      </c>
      <c r="E130">
        <v>3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35">
      <c r="A131" t="s">
        <v>68</v>
      </c>
      <c r="B131">
        <v>7</v>
      </c>
      <c r="C131">
        <v>15</v>
      </c>
      <c r="D131">
        <v>10</v>
      </c>
      <c r="E131">
        <v>13</v>
      </c>
      <c r="F131">
        <v>3</v>
      </c>
      <c r="G131" t="b">
        <v>1</v>
      </c>
      <c r="H131" t="b">
        <v>1</v>
      </c>
      <c r="I131" t="b">
        <v>1</v>
      </c>
    </row>
    <row r="132" spans="1:9" x14ac:dyDescent="0.35">
      <c r="A132" t="s">
        <v>69</v>
      </c>
      <c r="B132">
        <v>1</v>
      </c>
      <c r="C132">
        <v>14</v>
      </c>
      <c r="D132">
        <v>12</v>
      </c>
      <c r="E132">
        <v>17</v>
      </c>
      <c r="F132">
        <v>3</v>
      </c>
      <c r="G132" t="b">
        <v>1</v>
      </c>
      <c r="H132" t="b">
        <v>1</v>
      </c>
      <c r="I132" t="b">
        <v>1</v>
      </c>
    </row>
    <row r="133" spans="1:9" x14ac:dyDescent="0.35">
      <c r="A133" t="s">
        <v>69</v>
      </c>
      <c r="B133">
        <v>2</v>
      </c>
      <c r="C133">
        <v>11</v>
      </c>
      <c r="D133">
        <v>8</v>
      </c>
      <c r="E133">
        <v>8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35">
      <c r="A134" t="s">
        <v>67</v>
      </c>
      <c r="B134">
        <v>7</v>
      </c>
      <c r="C134">
        <v>2</v>
      </c>
      <c r="D134">
        <v>21</v>
      </c>
      <c r="E134">
        <v>13</v>
      </c>
      <c r="F134">
        <v>2</v>
      </c>
      <c r="G134" t="b">
        <v>1</v>
      </c>
      <c r="H134" t="b">
        <v>1</v>
      </c>
      <c r="I134" t="b">
        <v>1</v>
      </c>
    </row>
    <row r="135" spans="1:9" x14ac:dyDescent="0.35">
      <c r="A135" t="s">
        <v>69</v>
      </c>
      <c r="B135">
        <v>2</v>
      </c>
      <c r="C135">
        <v>13</v>
      </c>
      <c r="D135">
        <v>4</v>
      </c>
      <c r="E135">
        <v>2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35">
      <c r="A136" t="s">
        <v>76</v>
      </c>
      <c r="B136">
        <v>3</v>
      </c>
      <c r="C136">
        <v>11</v>
      </c>
      <c r="D136">
        <v>10</v>
      </c>
      <c r="E136">
        <v>6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35">
      <c r="A137" t="s">
        <v>70</v>
      </c>
      <c r="B137">
        <v>7</v>
      </c>
      <c r="C137">
        <v>2</v>
      </c>
      <c r="D137">
        <v>30</v>
      </c>
      <c r="E137">
        <v>13</v>
      </c>
      <c r="F137">
        <v>2</v>
      </c>
      <c r="G137" t="b">
        <v>1</v>
      </c>
      <c r="H137" t="b">
        <v>1</v>
      </c>
      <c r="I137" t="b">
        <v>1</v>
      </c>
    </row>
    <row r="138" spans="1:9" x14ac:dyDescent="0.35">
      <c r="A138" t="s">
        <v>68</v>
      </c>
      <c r="B138">
        <v>1</v>
      </c>
      <c r="C138">
        <v>4</v>
      </c>
      <c r="D138">
        <v>1</v>
      </c>
      <c r="E138">
        <v>7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35">
      <c r="A139" t="s">
        <v>76</v>
      </c>
      <c r="B139">
        <v>4</v>
      </c>
      <c r="C139">
        <v>23</v>
      </c>
      <c r="D139">
        <v>18</v>
      </c>
      <c r="E139">
        <v>4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35">
      <c r="A140" t="s">
        <v>73</v>
      </c>
      <c r="B140">
        <v>1</v>
      </c>
      <c r="C140">
        <v>1</v>
      </c>
      <c r="D140">
        <v>1</v>
      </c>
      <c r="E140">
        <v>2</v>
      </c>
      <c r="F140">
        <v>3</v>
      </c>
      <c r="G140" t="b">
        <v>1</v>
      </c>
      <c r="H140" t="b">
        <v>1</v>
      </c>
      <c r="I140" t="b">
        <v>1</v>
      </c>
    </row>
    <row r="141" spans="1:9" x14ac:dyDescent="0.35">
      <c r="A141" t="s">
        <v>51</v>
      </c>
      <c r="B141">
        <v>6</v>
      </c>
      <c r="C141">
        <v>16</v>
      </c>
      <c r="D141">
        <v>18</v>
      </c>
      <c r="E141">
        <v>9</v>
      </c>
      <c r="F141">
        <v>100021</v>
      </c>
      <c r="G141" t="b">
        <v>1</v>
      </c>
      <c r="H141" t="b">
        <v>1</v>
      </c>
      <c r="I141" t="b">
        <v>1</v>
      </c>
    </row>
    <row r="142" spans="1:9" x14ac:dyDescent="0.35">
      <c r="A142" t="s">
        <v>72</v>
      </c>
      <c r="B142">
        <v>5</v>
      </c>
      <c r="C142">
        <v>1</v>
      </c>
      <c r="D142">
        <v>2</v>
      </c>
      <c r="E142">
        <v>16</v>
      </c>
      <c r="F142">
        <v>200021</v>
      </c>
      <c r="G142" t="b">
        <v>1</v>
      </c>
      <c r="H142" t="b">
        <v>1</v>
      </c>
      <c r="I142" t="b">
        <v>1</v>
      </c>
    </row>
    <row r="143" spans="1:9" x14ac:dyDescent="0.35">
      <c r="A143" t="s">
        <v>72</v>
      </c>
      <c r="B143">
        <v>9</v>
      </c>
      <c r="C143">
        <v>1</v>
      </c>
      <c r="D143">
        <v>2</v>
      </c>
      <c r="E143">
        <v>16</v>
      </c>
      <c r="F143">
        <v>200021</v>
      </c>
      <c r="G143" t="b">
        <v>1</v>
      </c>
      <c r="H143" t="b">
        <v>1</v>
      </c>
      <c r="I143" t="b">
        <v>1</v>
      </c>
    </row>
    <row r="144" spans="1:9" x14ac:dyDescent="0.35">
      <c r="A144" t="s">
        <v>73</v>
      </c>
      <c r="B144">
        <v>1</v>
      </c>
      <c r="C144">
        <v>1</v>
      </c>
      <c r="D144">
        <v>1</v>
      </c>
      <c r="E144">
        <v>2</v>
      </c>
      <c r="F144">
        <v>3</v>
      </c>
      <c r="G144" t="b">
        <v>1</v>
      </c>
      <c r="H144" t="b">
        <v>1</v>
      </c>
      <c r="I144" t="b">
        <v>1</v>
      </c>
    </row>
    <row r="145" spans="1:9" x14ac:dyDescent="0.35">
      <c r="A145" t="s">
        <v>77</v>
      </c>
      <c r="B145">
        <v>19</v>
      </c>
      <c r="C145">
        <v>4</v>
      </c>
      <c r="D145">
        <v>24</v>
      </c>
      <c r="E145">
        <v>15</v>
      </c>
      <c r="F145">
        <v>210031</v>
      </c>
      <c r="G145" t="b">
        <v>1</v>
      </c>
      <c r="H145" t="b">
        <v>1</v>
      </c>
      <c r="I145" t="b">
        <v>1</v>
      </c>
    </row>
    <row r="146" spans="1:9" x14ac:dyDescent="0.35">
      <c r="A146" t="s">
        <v>75</v>
      </c>
      <c r="B146">
        <v>3</v>
      </c>
      <c r="C146">
        <v>17</v>
      </c>
      <c r="D146">
        <v>7</v>
      </c>
      <c r="E146">
        <v>14</v>
      </c>
      <c r="F146">
        <v>5</v>
      </c>
      <c r="G146" t="b">
        <v>1</v>
      </c>
      <c r="H146" t="b">
        <v>1</v>
      </c>
      <c r="I146" t="b">
        <v>1</v>
      </c>
    </row>
    <row r="147" spans="1:9" x14ac:dyDescent="0.35">
      <c r="A147" t="s">
        <v>66</v>
      </c>
      <c r="B147">
        <v>1</v>
      </c>
      <c r="C147">
        <v>9</v>
      </c>
      <c r="D147">
        <v>1</v>
      </c>
      <c r="E147">
        <v>11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35">
      <c r="A148" t="s">
        <v>66</v>
      </c>
      <c r="B148">
        <v>1</v>
      </c>
      <c r="C148">
        <v>11</v>
      </c>
      <c r="D148">
        <v>1</v>
      </c>
      <c r="E148">
        <v>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35">
      <c r="A149" t="s">
        <v>69</v>
      </c>
      <c r="B149">
        <v>2</v>
      </c>
      <c r="C149">
        <v>11</v>
      </c>
      <c r="D149">
        <v>8</v>
      </c>
      <c r="E149">
        <v>8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35">
      <c r="A150" t="s">
        <v>67</v>
      </c>
      <c r="B150">
        <v>7</v>
      </c>
      <c r="C150">
        <v>2</v>
      </c>
      <c r="D150">
        <v>21</v>
      </c>
      <c r="E150">
        <v>13</v>
      </c>
      <c r="F150">
        <v>2</v>
      </c>
      <c r="G150" t="b">
        <v>1</v>
      </c>
      <c r="H150" t="b">
        <v>1</v>
      </c>
      <c r="I150" t="b">
        <v>1</v>
      </c>
    </row>
    <row r="151" spans="1:9" x14ac:dyDescent="0.35">
      <c r="A151" t="s">
        <v>69</v>
      </c>
      <c r="B151">
        <v>2</v>
      </c>
      <c r="C151">
        <v>13</v>
      </c>
      <c r="D151">
        <v>4</v>
      </c>
      <c r="E151">
        <v>2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35">
      <c r="A152" t="s">
        <v>69</v>
      </c>
      <c r="B152">
        <v>2</v>
      </c>
      <c r="C152">
        <v>9</v>
      </c>
      <c r="D152">
        <v>7</v>
      </c>
      <c r="E152">
        <v>8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35">
      <c r="A153" t="s">
        <v>78</v>
      </c>
      <c r="B153">
        <v>1</v>
      </c>
      <c r="C153">
        <v>1</v>
      </c>
      <c r="D153">
        <v>11</v>
      </c>
      <c r="E153">
        <v>4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35">
      <c r="A154" t="s">
        <v>71</v>
      </c>
      <c r="B154">
        <v>2</v>
      </c>
      <c r="C154">
        <v>9</v>
      </c>
      <c r="D154">
        <v>55</v>
      </c>
      <c r="E154">
        <v>15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35">
      <c r="A155" t="s">
        <v>54</v>
      </c>
      <c r="B155">
        <v>1</v>
      </c>
      <c r="C155">
        <v>1</v>
      </c>
      <c r="D155">
        <v>10</v>
      </c>
      <c r="E155">
        <v>1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35">
      <c r="A156" t="s">
        <v>35</v>
      </c>
      <c r="B156">
        <v>3</v>
      </c>
      <c r="C156">
        <v>3</v>
      </c>
      <c r="D156">
        <v>4</v>
      </c>
      <c r="E156">
        <v>6</v>
      </c>
      <c r="F156">
        <v>100021</v>
      </c>
      <c r="G156" t="b">
        <v>1</v>
      </c>
      <c r="H156" t="b">
        <v>1</v>
      </c>
      <c r="I156" t="b">
        <v>1</v>
      </c>
    </row>
    <row r="157" spans="1:9" x14ac:dyDescent="0.35">
      <c r="A157" t="s">
        <v>66</v>
      </c>
      <c r="B157">
        <v>1</v>
      </c>
      <c r="C157">
        <v>14</v>
      </c>
      <c r="D157">
        <v>1</v>
      </c>
      <c r="E157">
        <v>1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35">
      <c r="A158" t="s">
        <v>66</v>
      </c>
      <c r="B158">
        <v>1</v>
      </c>
      <c r="C158">
        <v>14</v>
      </c>
      <c r="D158">
        <v>1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35">
      <c r="A159" t="s">
        <v>54</v>
      </c>
      <c r="B159">
        <v>1</v>
      </c>
      <c r="C159">
        <v>1</v>
      </c>
      <c r="D159">
        <v>3</v>
      </c>
      <c r="E159">
        <v>4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35">
      <c r="A160" t="s">
        <v>66</v>
      </c>
      <c r="B160">
        <v>1</v>
      </c>
      <c r="C160">
        <v>14</v>
      </c>
      <c r="D160">
        <v>1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35">
      <c r="A161" t="s">
        <v>66</v>
      </c>
      <c r="B161">
        <v>1</v>
      </c>
      <c r="C161">
        <v>14</v>
      </c>
      <c r="D161">
        <v>1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35">
      <c r="A162" t="s">
        <v>73</v>
      </c>
      <c r="B162">
        <v>2</v>
      </c>
      <c r="C162">
        <v>2</v>
      </c>
      <c r="D162">
        <v>2</v>
      </c>
      <c r="E162">
        <v>4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35">
      <c r="A163" t="s">
        <v>51</v>
      </c>
      <c r="B163">
        <v>6</v>
      </c>
      <c r="C163">
        <v>6</v>
      </c>
      <c r="D163">
        <v>8</v>
      </c>
      <c r="E163">
        <v>9</v>
      </c>
      <c r="F163">
        <v>2</v>
      </c>
      <c r="G163" t="b">
        <v>1</v>
      </c>
      <c r="H163" t="b">
        <v>1</v>
      </c>
      <c r="I163" t="b">
        <v>1</v>
      </c>
    </row>
    <row r="164" spans="1:9" x14ac:dyDescent="0.35">
      <c r="A164" t="s">
        <v>68</v>
      </c>
      <c r="B164">
        <v>1</v>
      </c>
      <c r="C164">
        <v>4</v>
      </c>
      <c r="D164">
        <v>1</v>
      </c>
      <c r="E164">
        <v>7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35">
      <c r="A165" t="s">
        <v>65</v>
      </c>
      <c r="B165">
        <v>4</v>
      </c>
      <c r="C165">
        <v>4</v>
      </c>
      <c r="D165">
        <v>5</v>
      </c>
      <c r="E165">
        <v>10</v>
      </c>
      <c r="F165">
        <v>2</v>
      </c>
      <c r="G165" t="b">
        <v>1</v>
      </c>
      <c r="H165" t="b">
        <v>1</v>
      </c>
      <c r="I165" t="b">
        <v>1</v>
      </c>
    </row>
    <row r="166" spans="1:9" x14ac:dyDescent="0.35">
      <c r="A166" t="s">
        <v>76</v>
      </c>
      <c r="B166">
        <v>3</v>
      </c>
      <c r="C166">
        <v>11</v>
      </c>
      <c r="D166">
        <v>10</v>
      </c>
      <c r="E166">
        <v>6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35">
      <c r="A167" t="s">
        <v>52</v>
      </c>
      <c r="B167">
        <v>1</v>
      </c>
      <c r="C167">
        <v>1</v>
      </c>
      <c r="D167">
        <v>6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35">
      <c r="A168" t="s">
        <v>67</v>
      </c>
      <c r="B168">
        <v>1</v>
      </c>
      <c r="C168">
        <v>1</v>
      </c>
      <c r="D168">
        <v>13</v>
      </c>
      <c r="E168">
        <v>3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35">
      <c r="A169" t="s">
        <v>69</v>
      </c>
      <c r="B169">
        <v>2</v>
      </c>
      <c r="C169">
        <v>12</v>
      </c>
      <c r="D169">
        <v>4</v>
      </c>
      <c r="E169">
        <v>2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35">
      <c r="A170" t="s">
        <v>51</v>
      </c>
      <c r="B170">
        <v>6</v>
      </c>
      <c r="C170">
        <v>6</v>
      </c>
      <c r="D170">
        <v>8</v>
      </c>
      <c r="E170">
        <v>9</v>
      </c>
      <c r="F170">
        <v>2</v>
      </c>
      <c r="G170" t="b">
        <v>1</v>
      </c>
      <c r="H170" t="b">
        <v>1</v>
      </c>
      <c r="I170" t="b">
        <v>1</v>
      </c>
    </row>
    <row r="171" spans="1:9" x14ac:dyDescent="0.35">
      <c r="A171" t="s">
        <v>69</v>
      </c>
      <c r="B171">
        <v>2</v>
      </c>
      <c r="C171">
        <v>9</v>
      </c>
      <c r="D171">
        <v>7</v>
      </c>
      <c r="E171">
        <v>8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35">
      <c r="A172" t="s">
        <v>89</v>
      </c>
      <c r="B172">
        <v>1</v>
      </c>
      <c r="C172">
        <v>4</v>
      </c>
      <c r="D172">
        <v>30</v>
      </c>
      <c r="E172">
        <v>3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35">
      <c r="A173" t="s">
        <v>69</v>
      </c>
      <c r="B173">
        <v>2</v>
      </c>
      <c r="C173">
        <v>10</v>
      </c>
      <c r="D173">
        <v>7</v>
      </c>
      <c r="E173">
        <v>8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35">
      <c r="A174" t="s">
        <v>69</v>
      </c>
      <c r="B174">
        <v>2</v>
      </c>
      <c r="C174">
        <v>9</v>
      </c>
      <c r="D174">
        <v>7</v>
      </c>
      <c r="E174">
        <v>8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35">
      <c r="A175" t="s">
        <v>88</v>
      </c>
      <c r="B175">
        <v>8</v>
      </c>
      <c r="C175">
        <v>2</v>
      </c>
      <c r="D175">
        <v>29</v>
      </c>
      <c r="E175">
        <v>24</v>
      </c>
      <c r="F175">
        <v>4</v>
      </c>
      <c r="G175" t="b">
        <v>1</v>
      </c>
      <c r="H175" t="b">
        <v>1</v>
      </c>
      <c r="I175" t="b">
        <v>1</v>
      </c>
    </row>
    <row r="176" spans="1:9" x14ac:dyDescent="0.35">
      <c r="A176" t="s">
        <v>80</v>
      </c>
      <c r="B176">
        <v>5</v>
      </c>
      <c r="C176">
        <v>6</v>
      </c>
      <c r="D176">
        <v>4</v>
      </c>
      <c r="E176">
        <v>3</v>
      </c>
      <c r="F176">
        <v>11</v>
      </c>
      <c r="G176" t="b">
        <v>1</v>
      </c>
      <c r="H176" t="b">
        <v>1</v>
      </c>
      <c r="I176" t="b">
        <v>1</v>
      </c>
    </row>
    <row r="177" spans="1:9" x14ac:dyDescent="0.35">
      <c r="A177" t="s">
        <v>69</v>
      </c>
      <c r="B177">
        <v>2</v>
      </c>
      <c r="C177">
        <v>13</v>
      </c>
      <c r="D177">
        <v>4</v>
      </c>
      <c r="E177">
        <v>2</v>
      </c>
      <c r="F177">
        <v>2</v>
      </c>
      <c r="G177" t="b">
        <v>1</v>
      </c>
      <c r="H177" t="b">
        <v>1</v>
      </c>
      <c r="I177" t="b">
        <v>1</v>
      </c>
    </row>
    <row r="178" spans="1:9" x14ac:dyDescent="0.35">
      <c r="A178" t="s">
        <v>67</v>
      </c>
      <c r="B178">
        <v>1</v>
      </c>
      <c r="C178">
        <v>2</v>
      </c>
      <c r="D178">
        <v>22</v>
      </c>
      <c r="E178">
        <v>15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35">
      <c r="A179" t="s">
        <v>69</v>
      </c>
      <c r="B179">
        <v>2</v>
      </c>
      <c r="C179">
        <v>15</v>
      </c>
      <c r="D179">
        <v>4</v>
      </c>
      <c r="E179">
        <v>2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35">
      <c r="A180" t="s">
        <v>67</v>
      </c>
      <c r="B180">
        <v>1</v>
      </c>
      <c r="C180">
        <v>2</v>
      </c>
      <c r="D180">
        <v>22</v>
      </c>
      <c r="E180">
        <v>15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35">
      <c r="A181" t="s">
        <v>69</v>
      </c>
      <c r="B181">
        <v>2</v>
      </c>
      <c r="C181">
        <v>15</v>
      </c>
      <c r="D181">
        <v>4</v>
      </c>
      <c r="E181">
        <v>2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35">
      <c r="A182" t="s">
        <v>82</v>
      </c>
      <c r="B182">
        <v>2</v>
      </c>
      <c r="C182">
        <v>10</v>
      </c>
      <c r="D182">
        <v>38</v>
      </c>
      <c r="E182">
        <v>16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35">
      <c r="A183" t="s">
        <v>69</v>
      </c>
      <c r="B183">
        <v>2</v>
      </c>
      <c r="C183">
        <v>13</v>
      </c>
      <c r="D183">
        <v>8</v>
      </c>
      <c r="E183">
        <v>8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35">
      <c r="A184" t="s">
        <v>82</v>
      </c>
      <c r="B184">
        <v>2</v>
      </c>
      <c r="C184">
        <v>10</v>
      </c>
      <c r="D184">
        <v>38</v>
      </c>
      <c r="E184">
        <v>16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35">
      <c r="A185" t="s">
        <v>69</v>
      </c>
      <c r="B185">
        <v>2</v>
      </c>
      <c r="C185">
        <v>13</v>
      </c>
      <c r="D185">
        <v>8</v>
      </c>
      <c r="E185">
        <v>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35">
      <c r="A186" t="s">
        <v>86</v>
      </c>
      <c r="B186">
        <v>2</v>
      </c>
      <c r="C186">
        <v>8</v>
      </c>
      <c r="D186">
        <v>28</v>
      </c>
      <c r="E186">
        <v>3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35">
      <c r="A187" t="s">
        <v>76</v>
      </c>
      <c r="B187">
        <v>3</v>
      </c>
      <c r="C187">
        <v>13</v>
      </c>
      <c r="D187">
        <v>11</v>
      </c>
      <c r="E187">
        <v>6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35">
      <c r="A188" t="s">
        <v>68</v>
      </c>
      <c r="B188">
        <v>1</v>
      </c>
      <c r="C188">
        <v>6</v>
      </c>
      <c r="D188">
        <v>1</v>
      </c>
      <c r="E188">
        <v>7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35">
      <c r="A189" t="s">
        <v>87</v>
      </c>
      <c r="B189">
        <v>4</v>
      </c>
      <c r="C189">
        <v>21</v>
      </c>
      <c r="D189">
        <v>15</v>
      </c>
      <c r="E189">
        <v>3</v>
      </c>
      <c r="F189">
        <v>7</v>
      </c>
      <c r="G189" t="b">
        <v>1</v>
      </c>
      <c r="H189" t="b">
        <v>1</v>
      </c>
      <c r="I189" t="b">
        <v>1</v>
      </c>
    </row>
    <row r="190" spans="1:9" x14ac:dyDescent="0.35">
      <c r="A190" t="s">
        <v>54</v>
      </c>
      <c r="B190">
        <v>1</v>
      </c>
      <c r="C190">
        <v>1</v>
      </c>
      <c r="D190">
        <v>10</v>
      </c>
      <c r="E190">
        <v>1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35">
      <c r="A191" t="s">
        <v>79</v>
      </c>
      <c r="B191">
        <v>52</v>
      </c>
      <c r="C191">
        <v>4</v>
      </c>
      <c r="D191">
        <v>41</v>
      </c>
      <c r="E191">
        <v>31</v>
      </c>
      <c r="F191">
        <v>310031</v>
      </c>
      <c r="G191" t="b">
        <v>1</v>
      </c>
      <c r="H191" t="b">
        <v>1</v>
      </c>
      <c r="I191" t="b">
        <v>1</v>
      </c>
    </row>
    <row r="192" spans="1:9" x14ac:dyDescent="0.35">
      <c r="A192" t="s">
        <v>84</v>
      </c>
      <c r="B192">
        <v>15</v>
      </c>
      <c r="C192">
        <v>15</v>
      </c>
      <c r="D192">
        <v>15</v>
      </c>
      <c r="E192">
        <v>5</v>
      </c>
      <c r="F192">
        <v>210031</v>
      </c>
      <c r="G192" t="b">
        <v>1</v>
      </c>
      <c r="H192" t="b">
        <v>1</v>
      </c>
      <c r="I192" t="b">
        <v>1</v>
      </c>
    </row>
    <row r="193" spans="1:9" x14ac:dyDescent="0.35">
      <c r="A193" t="s">
        <v>75</v>
      </c>
      <c r="B193">
        <v>3</v>
      </c>
      <c r="C193">
        <v>19</v>
      </c>
      <c r="D193">
        <v>7</v>
      </c>
      <c r="E193">
        <v>4</v>
      </c>
      <c r="F193">
        <v>7</v>
      </c>
      <c r="G193" t="b">
        <v>1</v>
      </c>
      <c r="H193" t="b">
        <v>1</v>
      </c>
      <c r="I193" t="b">
        <v>1</v>
      </c>
    </row>
    <row r="194" spans="1:9" x14ac:dyDescent="0.35">
      <c r="A194" t="s">
        <v>85</v>
      </c>
      <c r="B194">
        <v>2</v>
      </c>
      <c r="C194">
        <v>2</v>
      </c>
      <c r="D194">
        <v>10</v>
      </c>
      <c r="E194">
        <v>2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35">
      <c r="A195" t="s">
        <v>81</v>
      </c>
      <c r="B195">
        <v>1</v>
      </c>
      <c r="C195">
        <v>1</v>
      </c>
      <c r="D195">
        <v>12</v>
      </c>
      <c r="E195">
        <v>1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35">
      <c r="A196" t="s">
        <v>66</v>
      </c>
      <c r="B196">
        <v>1</v>
      </c>
      <c r="C196">
        <v>12</v>
      </c>
      <c r="D196">
        <v>1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35">
      <c r="A197" t="s">
        <v>51</v>
      </c>
      <c r="B197">
        <v>2</v>
      </c>
      <c r="C197">
        <v>45</v>
      </c>
      <c r="D197">
        <v>14</v>
      </c>
      <c r="E197">
        <v>3</v>
      </c>
      <c r="F197">
        <v>2</v>
      </c>
      <c r="G197" t="b">
        <v>1</v>
      </c>
      <c r="H197" t="b">
        <v>1</v>
      </c>
      <c r="I197" t="b">
        <v>1</v>
      </c>
    </row>
    <row r="198" spans="1:9" x14ac:dyDescent="0.35">
      <c r="A198" t="s">
        <v>72</v>
      </c>
      <c r="B198">
        <v>9</v>
      </c>
      <c r="C198">
        <v>1</v>
      </c>
      <c r="D198">
        <v>2</v>
      </c>
      <c r="E198">
        <v>16</v>
      </c>
      <c r="F198">
        <v>200021</v>
      </c>
      <c r="G198" t="b">
        <v>1</v>
      </c>
      <c r="H198" t="b">
        <v>1</v>
      </c>
      <c r="I198" t="b">
        <v>1</v>
      </c>
    </row>
    <row r="199" spans="1:9" x14ac:dyDescent="0.35">
      <c r="A199" t="s">
        <v>73</v>
      </c>
      <c r="B199">
        <v>1</v>
      </c>
      <c r="C199">
        <v>1</v>
      </c>
      <c r="D199">
        <v>1</v>
      </c>
      <c r="E199">
        <v>2</v>
      </c>
      <c r="F199">
        <v>3</v>
      </c>
      <c r="G199" t="b">
        <v>1</v>
      </c>
      <c r="H199" t="b">
        <v>1</v>
      </c>
      <c r="I199" t="b">
        <v>1</v>
      </c>
    </row>
    <row r="200" spans="1:9" x14ac:dyDescent="0.35">
      <c r="A200" t="s">
        <v>83</v>
      </c>
      <c r="B200">
        <v>9</v>
      </c>
      <c r="C200">
        <v>6</v>
      </c>
      <c r="D200">
        <v>30</v>
      </c>
      <c r="E200">
        <v>14</v>
      </c>
      <c r="F200">
        <v>200021</v>
      </c>
      <c r="G200" t="b">
        <v>1</v>
      </c>
      <c r="H200" t="b">
        <v>1</v>
      </c>
      <c r="I200" t="b">
        <v>1</v>
      </c>
    </row>
    <row r="201" spans="1:9" x14ac:dyDescent="0.35">
      <c r="A201" t="s">
        <v>52</v>
      </c>
      <c r="B201">
        <v>1</v>
      </c>
      <c r="C201">
        <v>1</v>
      </c>
      <c r="D201">
        <v>6</v>
      </c>
      <c r="E201">
        <v>1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35">
      <c r="A202" t="s">
        <v>85</v>
      </c>
      <c r="B202">
        <v>2</v>
      </c>
      <c r="C202">
        <v>2</v>
      </c>
      <c r="D202">
        <v>10</v>
      </c>
      <c r="E202">
        <v>2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35">
      <c r="A203" t="s">
        <v>81</v>
      </c>
      <c r="B203">
        <v>1</v>
      </c>
      <c r="C203">
        <v>2</v>
      </c>
      <c r="D203">
        <v>18</v>
      </c>
      <c r="E203">
        <v>13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35">
      <c r="A204" t="s">
        <v>66</v>
      </c>
      <c r="B204">
        <v>1</v>
      </c>
      <c r="C204">
        <v>12</v>
      </c>
      <c r="D204">
        <v>1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35">
      <c r="A205" t="s">
        <v>66</v>
      </c>
      <c r="B205">
        <v>1</v>
      </c>
      <c r="C205">
        <v>11</v>
      </c>
      <c r="D205">
        <v>1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35">
      <c r="A206" t="s">
        <v>69</v>
      </c>
      <c r="B206">
        <v>2</v>
      </c>
      <c r="C206">
        <v>11</v>
      </c>
      <c r="D206">
        <v>8</v>
      </c>
      <c r="E206">
        <v>8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35">
      <c r="A207" t="s">
        <v>67</v>
      </c>
      <c r="B207">
        <v>7</v>
      </c>
      <c r="C207">
        <v>2</v>
      </c>
      <c r="D207">
        <v>21</v>
      </c>
      <c r="E207">
        <v>13</v>
      </c>
      <c r="F207">
        <v>2</v>
      </c>
      <c r="G207" t="b">
        <v>1</v>
      </c>
      <c r="H207" t="b">
        <v>1</v>
      </c>
      <c r="I207" t="b">
        <v>1</v>
      </c>
    </row>
    <row r="208" spans="1:9" x14ac:dyDescent="0.35">
      <c r="A208" t="s">
        <v>69</v>
      </c>
      <c r="B208">
        <v>2</v>
      </c>
      <c r="C208">
        <v>13</v>
      </c>
      <c r="D208">
        <v>4</v>
      </c>
      <c r="E208">
        <v>2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35">
      <c r="A209" t="s">
        <v>69</v>
      </c>
      <c r="B209">
        <v>2</v>
      </c>
      <c r="C209">
        <v>9</v>
      </c>
      <c r="D209">
        <v>7</v>
      </c>
      <c r="E209">
        <v>8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35">
      <c r="A210" t="s">
        <v>78</v>
      </c>
      <c r="B210">
        <v>1</v>
      </c>
      <c r="C210">
        <v>1</v>
      </c>
      <c r="D210">
        <v>11</v>
      </c>
      <c r="E210">
        <v>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35">
      <c r="A211" t="s">
        <v>71</v>
      </c>
      <c r="B211">
        <v>2</v>
      </c>
      <c r="C211">
        <v>9</v>
      </c>
      <c r="D211">
        <v>55</v>
      </c>
      <c r="E211">
        <v>15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35">
      <c r="A212" t="s">
        <v>54</v>
      </c>
      <c r="B212">
        <v>1</v>
      </c>
      <c r="C212">
        <v>1</v>
      </c>
      <c r="D212">
        <v>10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35">
      <c r="A213" t="s">
        <v>35</v>
      </c>
      <c r="B213">
        <v>3</v>
      </c>
      <c r="C213">
        <v>3</v>
      </c>
      <c r="D213">
        <v>4</v>
      </c>
      <c r="E213">
        <v>6</v>
      </c>
      <c r="F213">
        <v>100021</v>
      </c>
      <c r="G213" t="b">
        <v>1</v>
      </c>
      <c r="H213" t="b">
        <v>1</v>
      </c>
      <c r="I213" t="b">
        <v>1</v>
      </c>
    </row>
    <row r="214" spans="1:9" x14ac:dyDescent="0.35">
      <c r="A214" t="s">
        <v>66</v>
      </c>
      <c r="B214">
        <v>1</v>
      </c>
      <c r="C214">
        <v>14</v>
      </c>
      <c r="D214">
        <v>1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35">
      <c r="A215" t="s">
        <v>66</v>
      </c>
      <c r="B215">
        <v>1</v>
      </c>
      <c r="C215">
        <v>14</v>
      </c>
      <c r="D215">
        <v>1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35">
      <c r="A216" t="s">
        <v>66</v>
      </c>
      <c r="B216">
        <v>1</v>
      </c>
      <c r="C216">
        <v>14</v>
      </c>
      <c r="D216">
        <v>1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35">
      <c r="A217" t="s">
        <v>69</v>
      </c>
      <c r="B217">
        <v>2</v>
      </c>
      <c r="C217">
        <v>11</v>
      </c>
      <c r="D217">
        <v>4</v>
      </c>
      <c r="E217">
        <v>12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35">
      <c r="A218" t="s">
        <v>54</v>
      </c>
      <c r="B218">
        <v>1</v>
      </c>
      <c r="C218">
        <v>1</v>
      </c>
      <c r="D218">
        <v>3</v>
      </c>
      <c r="E218">
        <v>4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35">
      <c r="A219" t="s">
        <v>66</v>
      </c>
      <c r="B219">
        <v>1</v>
      </c>
      <c r="C219">
        <v>14</v>
      </c>
      <c r="D219">
        <v>1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35">
      <c r="A220" t="s">
        <v>90</v>
      </c>
      <c r="B220">
        <v>2</v>
      </c>
      <c r="C220">
        <v>8</v>
      </c>
      <c r="D220">
        <v>12</v>
      </c>
      <c r="E220">
        <v>22</v>
      </c>
      <c r="F220">
        <v>2</v>
      </c>
      <c r="G220" t="b">
        <v>1</v>
      </c>
      <c r="H220" t="b">
        <v>1</v>
      </c>
      <c r="I220" t="b">
        <v>1</v>
      </c>
    </row>
    <row r="221" spans="1:9" x14ac:dyDescent="0.35">
      <c r="A221" t="s">
        <v>91</v>
      </c>
      <c r="B221">
        <v>7</v>
      </c>
      <c r="C221">
        <v>28</v>
      </c>
      <c r="D221">
        <v>89</v>
      </c>
      <c r="E221">
        <v>24</v>
      </c>
      <c r="F221">
        <v>7</v>
      </c>
      <c r="G221" t="b">
        <v>1</v>
      </c>
      <c r="H221" t="b">
        <v>1</v>
      </c>
      <c r="I221" t="b">
        <v>1</v>
      </c>
    </row>
    <row r="222" spans="1:9" x14ac:dyDescent="0.35">
      <c r="A222" t="s">
        <v>93</v>
      </c>
      <c r="B222">
        <v>3</v>
      </c>
      <c r="C222">
        <v>26</v>
      </c>
      <c r="D222">
        <v>7</v>
      </c>
      <c r="E222">
        <v>8</v>
      </c>
      <c r="F222">
        <v>4</v>
      </c>
      <c r="G222" t="b">
        <v>1</v>
      </c>
      <c r="H222" t="b">
        <v>1</v>
      </c>
      <c r="I222" t="b">
        <v>1</v>
      </c>
    </row>
    <row r="223" spans="1:9" x14ac:dyDescent="0.35">
      <c r="A223" t="s">
        <v>92</v>
      </c>
      <c r="B223">
        <v>2</v>
      </c>
      <c r="C223">
        <v>2</v>
      </c>
      <c r="D223">
        <v>2</v>
      </c>
      <c r="E223">
        <v>6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35">
      <c r="A224" t="s">
        <v>94</v>
      </c>
      <c r="B224">
        <v>2</v>
      </c>
      <c r="C224">
        <v>29</v>
      </c>
      <c r="D224">
        <v>96</v>
      </c>
      <c r="E224">
        <v>20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35">
      <c r="A225" t="s">
        <v>90</v>
      </c>
      <c r="B225">
        <v>2</v>
      </c>
      <c r="C225">
        <v>20</v>
      </c>
      <c r="D225">
        <v>18</v>
      </c>
      <c r="E225">
        <v>6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35">
      <c r="A226" t="s">
        <v>92</v>
      </c>
      <c r="B226">
        <v>1</v>
      </c>
      <c r="C226">
        <v>1</v>
      </c>
      <c r="D226">
        <v>1</v>
      </c>
      <c r="E226">
        <v>6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35">
      <c r="A227" t="s">
        <v>97</v>
      </c>
      <c r="B227">
        <v>2</v>
      </c>
      <c r="C227">
        <v>9</v>
      </c>
      <c r="D227">
        <v>7</v>
      </c>
      <c r="E227">
        <v>6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35">
      <c r="A228" t="s">
        <v>103</v>
      </c>
      <c r="B228">
        <v>6</v>
      </c>
      <c r="C228">
        <v>6</v>
      </c>
      <c r="D228">
        <v>53</v>
      </c>
      <c r="E228">
        <v>14</v>
      </c>
      <c r="F228">
        <v>2</v>
      </c>
      <c r="G228" t="b">
        <v>1</v>
      </c>
      <c r="H228" t="b">
        <v>1</v>
      </c>
      <c r="I228" t="b">
        <v>1</v>
      </c>
    </row>
    <row r="229" spans="1:9" x14ac:dyDescent="0.35">
      <c r="A229" t="s">
        <v>98</v>
      </c>
      <c r="B229">
        <v>1</v>
      </c>
      <c r="C229">
        <v>4</v>
      </c>
      <c r="D229">
        <v>1</v>
      </c>
      <c r="E229">
        <v>5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35">
      <c r="A230" t="s">
        <v>99</v>
      </c>
      <c r="B230">
        <v>3</v>
      </c>
      <c r="C230">
        <v>3</v>
      </c>
      <c r="D230">
        <v>4</v>
      </c>
      <c r="E230">
        <v>7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35">
      <c r="A231" t="s">
        <v>102</v>
      </c>
      <c r="B231">
        <v>5</v>
      </c>
      <c r="C231">
        <v>6</v>
      </c>
      <c r="D231">
        <v>4</v>
      </c>
      <c r="E231">
        <v>17</v>
      </c>
      <c r="F231">
        <v>11</v>
      </c>
      <c r="G231" t="b">
        <v>1</v>
      </c>
      <c r="H231" t="b">
        <v>1</v>
      </c>
      <c r="I231" t="b">
        <v>1</v>
      </c>
    </row>
    <row r="232" spans="1:9" x14ac:dyDescent="0.35">
      <c r="A232" t="s">
        <v>101</v>
      </c>
      <c r="B232">
        <v>2</v>
      </c>
      <c r="C232">
        <v>12</v>
      </c>
      <c r="D232">
        <v>4</v>
      </c>
      <c r="E232">
        <v>6</v>
      </c>
      <c r="F232">
        <v>2</v>
      </c>
      <c r="G232" t="b">
        <v>1</v>
      </c>
      <c r="H232" t="b">
        <v>1</v>
      </c>
      <c r="I232" t="b">
        <v>1</v>
      </c>
    </row>
    <row r="233" spans="1:9" x14ac:dyDescent="0.35">
      <c r="A233" t="s">
        <v>98</v>
      </c>
      <c r="B233">
        <v>1</v>
      </c>
      <c r="C233">
        <v>4</v>
      </c>
      <c r="D233">
        <v>1</v>
      </c>
      <c r="E233">
        <v>5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35">
      <c r="A234" t="s">
        <v>101</v>
      </c>
      <c r="B234">
        <v>2</v>
      </c>
      <c r="C234">
        <v>12</v>
      </c>
      <c r="D234">
        <v>4</v>
      </c>
      <c r="E234">
        <v>6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35">
      <c r="A235" t="s">
        <v>101</v>
      </c>
      <c r="B235">
        <v>2</v>
      </c>
      <c r="C235">
        <v>12</v>
      </c>
      <c r="D235">
        <v>4</v>
      </c>
      <c r="E235">
        <v>6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35">
      <c r="A236" t="s">
        <v>100</v>
      </c>
      <c r="B236">
        <v>1</v>
      </c>
      <c r="C236">
        <v>10</v>
      </c>
      <c r="D236">
        <v>1</v>
      </c>
      <c r="E236">
        <v>4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35">
      <c r="A237" t="s">
        <v>96</v>
      </c>
      <c r="B237">
        <v>7</v>
      </c>
      <c r="C237">
        <v>27</v>
      </c>
      <c r="D237">
        <v>80</v>
      </c>
      <c r="E237">
        <v>11</v>
      </c>
      <c r="F237">
        <v>2</v>
      </c>
      <c r="G237" t="b">
        <v>1</v>
      </c>
      <c r="H237" t="b">
        <v>1</v>
      </c>
      <c r="I237" t="b">
        <v>1</v>
      </c>
    </row>
    <row r="238" spans="1:9" x14ac:dyDescent="0.35">
      <c r="A238" t="s">
        <v>100</v>
      </c>
      <c r="B238">
        <v>1</v>
      </c>
      <c r="C238">
        <v>10</v>
      </c>
      <c r="D238">
        <v>1</v>
      </c>
      <c r="E238">
        <v>4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35">
      <c r="A239" t="s">
        <v>97</v>
      </c>
      <c r="B239">
        <v>2</v>
      </c>
      <c r="C239">
        <v>9</v>
      </c>
      <c r="D239">
        <v>7</v>
      </c>
      <c r="E239">
        <v>6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35">
      <c r="A240" t="s">
        <v>95</v>
      </c>
      <c r="B240">
        <v>1</v>
      </c>
      <c r="C240">
        <v>5</v>
      </c>
      <c r="D240">
        <v>1</v>
      </c>
      <c r="E240">
        <v>1</v>
      </c>
      <c r="F240">
        <v>7</v>
      </c>
      <c r="G240" t="b">
        <v>1</v>
      </c>
      <c r="H240" t="b">
        <v>1</v>
      </c>
      <c r="I240" t="b">
        <v>1</v>
      </c>
    </row>
    <row r="241" spans="1:9" x14ac:dyDescent="0.35">
      <c r="A241" t="s">
        <v>97</v>
      </c>
      <c r="B241">
        <v>2</v>
      </c>
      <c r="C241">
        <v>9</v>
      </c>
      <c r="D241">
        <v>7</v>
      </c>
      <c r="E241">
        <v>6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35">
      <c r="A242" t="s">
        <v>99</v>
      </c>
      <c r="B242">
        <v>2</v>
      </c>
      <c r="C242">
        <v>2</v>
      </c>
      <c r="D242">
        <v>3</v>
      </c>
      <c r="E242">
        <v>7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35">
      <c r="A243" t="s">
        <v>108</v>
      </c>
      <c r="B243">
        <v>11</v>
      </c>
      <c r="C243">
        <v>3</v>
      </c>
      <c r="D243">
        <v>2</v>
      </c>
      <c r="E243">
        <v>4</v>
      </c>
      <c r="F243">
        <v>211021</v>
      </c>
      <c r="G243" t="b">
        <v>1</v>
      </c>
      <c r="H243" t="b">
        <v>1</v>
      </c>
      <c r="I243" t="b">
        <v>1</v>
      </c>
    </row>
    <row r="244" spans="1:9" x14ac:dyDescent="0.35">
      <c r="A244" t="s">
        <v>106</v>
      </c>
      <c r="B244">
        <v>4</v>
      </c>
      <c r="C244">
        <v>73</v>
      </c>
      <c r="D244">
        <v>1</v>
      </c>
      <c r="E244">
        <v>3</v>
      </c>
      <c r="F244">
        <v>4</v>
      </c>
      <c r="G244" t="b">
        <v>1</v>
      </c>
      <c r="H244" t="b">
        <v>1</v>
      </c>
      <c r="I244" t="b">
        <v>1</v>
      </c>
    </row>
    <row r="245" spans="1:9" x14ac:dyDescent="0.35">
      <c r="A245" t="s">
        <v>105</v>
      </c>
      <c r="B245">
        <v>4</v>
      </c>
      <c r="C245">
        <v>73</v>
      </c>
      <c r="D245">
        <v>21</v>
      </c>
      <c r="E245">
        <v>5</v>
      </c>
      <c r="F245">
        <v>4</v>
      </c>
      <c r="G245" t="b">
        <v>1</v>
      </c>
      <c r="H245" t="b">
        <v>1</v>
      </c>
      <c r="I245" t="b">
        <v>1</v>
      </c>
    </row>
    <row r="246" spans="1:9" x14ac:dyDescent="0.35">
      <c r="A246" t="s">
        <v>104</v>
      </c>
      <c r="B246">
        <v>1</v>
      </c>
      <c r="C246">
        <v>34</v>
      </c>
      <c r="D246">
        <v>45</v>
      </c>
      <c r="E246">
        <v>7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35">
      <c r="A247" t="s">
        <v>104</v>
      </c>
      <c r="B247">
        <v>1</v>
      </c>
      <c r="C247">
        <v>34</v>
      </c>
      <c r="D247">
        <v>45</v>
      </c>
      <c r="E247">
        <v>7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35">
      <c r="A248" t="s">
        <v>109</v>
      </c>
      <c r="B248">
        <v>2</v>
      </c>
      <c r="C248">
        <v>29</v>
      </c>
      <c r="D248">
        <v>44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35">
      <c r="A249" t="s">
        <v>104</v>
      </c>
      <c r="B249">
        <v>1</v>
      </c>
      <c r="C249">
        <v>26</v>
      </c>
      <c r="D249">
        <v>41</v>
      </c>
      <c r="E249">
        <v>7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35">
      <c r="A250" t="s">
        <v>107</v>
      </c>
      <c r="B250">
        <v>12</v>
      </c>
      <c r="C250">
        <v>32</v>
      </c>
      <c r="D250">
        <v>48</v>
      </c>
      <c r="E250">
        <v>29</v>
      </c>
      <c r="F250">
        <v>11</v>
      </c>
      <c r="G250" t="b">
        <v>1</v>
      </c>
      <c r="H250" t="b">
        <v>1</v>
      </c>
      <c r="I250" t="b">
        <v>1</v>
      </c>
    </row>
    <row r="251" spans="1:9" x14ac:dyDescent="0.35">
      <c r="A251" t="s">
        <v>104</v>
      </c>
      <c r="B251">
        <v>1</v>
      </c>
      <c r="C251">
        <v>26</v>
      </c>
      <c r="D251">
        <v>41</v>
      </c>
      <c r="E251">
        <v>7</v>
      </c>
      <c r="F251">
        <v>2</v>
      </c>
      <c r="G251" t="b">
        <v>1</v>
      </c>
      <c r="H251" t="b">
        <v>1</v>
      </c>
      <c r="I251" t="b">
        <v>1</v>
      </c>
    </row>
    <row r="252" spans="1:9" x14ac:dyDescent="0.35">
      <c r="A252" t="s">
        <v>111</v>
      </c>
      <c r="B252">
        <v>1</v>
      </c>
      <c r="C252">
        <v>3</v>
      </c>
      <c r="D252">
        <v>1</v>
      </c>
      <c r="E252">
        <v>9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35">
      <c r="A253" t="s">
        <v>117</v>
      </c>
      <c r="B253">
        <v>2</v>
      </c>
      <c r="C253">
        <v>10</v>
      </c>
      <c r="D253">
        <v>9</v>
      </c>
      <c r="E253">
        <v>8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35">
      <c r="A254" t="s">
        <v>118</v>
      </c>
      <c r="B254">
        <v>3</v>
      </c>
      <c r="C254">
        <v>13</v>
      </c>
      <c r="D254">
        <v>22</v>
      </c>
      <c r="E254">
        <v>7</v>
      </c>
      <c r="F254">
        <v>3</v>
      </c>
      <c r="G254" t="b">
        <v>1</v>
      </c>
      <c r="H254" t="b">
        <v>1</v>
      </c>
      <c r="I254" t="b">
        <v>1</v>
      </c>
    </row>
    <row r="255" spans="1:9" x14ac:dyDescent="0.35">
      <c r="A255" t="s">
        <v>117</v>
      </c>
      <c r="B255">
        <v>2</v>
      </c>
      <c r="C255">
        <v>10</v>
      </c>
      <c r="D255">
        <v>9</v>
      </c>
      <c r="E255">
        <v>8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35">
      <c r="A256" t="s">
        <v>111</v>
      </c>
      <c r="B256">
        <v>1</v>
      </c>
      <c r="C256">
        <v>3</v>
      </c>
      <c r="D256">
        <v>1</v>
      </c>
      <c r="E256">
        <v>9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35">
      <c r="A257" t="s">
        <v>111</v>
      </c>
      <c r="B257">
        <v>1</v>
      </c>
      <c r="C257">
        <v>3</v>
      </c>
      <c r="D257">
        <v>1</v>
      </c>
      <c r="E257">
        <v>9</v>
      </c>
      <c r="F257">
        <v>100021</v>
      </c>
      <c r="G257" t="b">
        <v>1</v>
      </c>
      <c r="H257" t="b">
        <v>1</v>
      </c>
      <c r="I257" t="b">
        <v>1</v>
      </c>
    </row>
    <row r="258" spans="1:9" x14ac:dyDescent="0.35">
      <c r="A258" t="s">
        <v>115</v>
      </c>
      <c r="B258">
        <v>4</v>
      </c>
      <c r="C258">
        <v>13</v>
      </c>
      <c r="D258">
        <v>13</v>
      </c>
      <c r="E258">
        <v>16</v>
      </c>
      <c r="F258">
        <v>5</v>
      </c>
      <c r="G258" t="b">
        <v>1</v>
      </c>
      <c r="H258" t="b">
        <v>1</v>
      </c>
      <c r="I258" t="b">
        <v>1</v>
      </c>
    </row>
    <row r="259" spans="1:9" x14ac:dyDescent="0.35">
      <c r="A259" t="s">
        <v>112</v>
      </c>
      <c r="B259">
        <v>1</v>
      </c>
      <c r="C259">
        <v>7</v>
      </c>
      <c r="D259">
        <v>11</v>
      </c>
      <c r="E259">
        <v>19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35">
      <c r="A260" t="s">
        <v>110</v>
      </c>
      <c r="B260">
        <v>134</v>
      </c>
      <c r="C260">
        <v>51</v>
      </c>
      <c r="D260">
        <v>24</v>
      </c>
      <c r="E260">
        <v>95</v>
      </c>
      <c r="F260">
        <v>311021</v>
      </c>
      <c r="G260" t="b">
        <v>1</v>
      </c>
      <c r="H260" t="b">
        <v>1</v>
      </c>
      <c r="I260" t="b">
        <v>1</v>
      </c>
    </row>
    <row r="261" spans="1:9" x14ac:dyDescent="0.35">
      <c r="A261" t="s">
        <v>113</v>
      </c>
      <c r="B261">
        <v>17</v>
      </c>
      <c r="C261">
        <v>6</v>
      </c>
      <c r="D261">
        <v>2</v>
      </c>
      <c r="E261">
        <v>5</v>
      </c>
      <c r="F261">
        <v>211021</v>
      </c>
      <c r="G261" t="b">
        <v>1</v>
      </c>
      <c r="H261" t="b">
        <v>1</v>
      </c>
      <c r="I261" t="b">
        <v>1</v>
      </c>
    </row>
    <row r="262" spans="1:9" x14ac:dyDescent="0.35">
      <c r="A262" t="s">
        <v>114</v>
      </c>
      <c r="B262">
        <v>2</v>
      </c>
      <c r="C262">
        <v>31</v>
      </c>
      <c r="D262">
        <v>1</v>
      </c>
      <c r="E262">
        <v>22</v>
      </c>
      <c r="F262">
        <v>4</v>
      </c>
      <c r="G262" t="b">
        <v>1</v>
      </c>
      <c r="H262" t="b">
        <v>1</v>
      </c>
      <c r="I262" t="b">
        <v>1</v>
      </c>
    </row>
    <row r="263" spans="1:9" x14ac:dyDescent="0.35">
      <c r="A263" t="s">
        <v>117</v>
      </c>
      <c r="B263">
        <v>2</v>
      </c>
      <c r="C263">
        <v>12</v>
      </c>
      <c r="D263">
        <v>10</v>
      </c>
      <c r="E263">
        <v>8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35">
      <c r="A264" t="s">
        <v>116</v>
      </c>
      <c r="B264">
        <v>33</v>
      </c>
      <c r="C264">
        <v>12</v>
      </c>
      <c r="D264">
        <v>63</v>
      </c>
      <c r="E264">
        <v>20</v>
      </c>
      <c r="F264">
        <v>211021</v>
      </c>
      <c r="G264" t="b">
        <v>1</v>
      </c>
      <c r="H264" t="b">
        <v>1</v>
      </c>
      <c r="I264" t="b">
        <v>1</v>
      </c>
    </row>
    <row r="265" spans="1:9" x14ac:dyDescent="0.35">
      <c r="A265" t="s">
        <v>114</v>
      </c>
      <c r="B265">
        <v>6</v>
      </c>
      <c r="C265">
        <v>31</v>
      </c>
      <c r="D265">
        <v>1</v>
      </c>
      <c r="E265">
        <v>22</v>
      </c>
      <c r="F265">
        <v>10</v>
      </c>
      <c r="G265" t="b">
        <v>1</v>
      </c>
      <c r="H265" t="b">
        <v>1</v>
      </c>
      <c r="I265" t="b">
        <v>1</v>
      </c>
    </row>
    <row r="266" spans="1:9" x14ac:dyDescent="0.35">
      <c r="A266" t="s">
        <v>121</v>
      </c>
      <c r="B266">
        <v>2</v>
      </c>
      <c r="C266">
        <v>6</v>
      </c>
      <c r="D266">
        <v>49</v>
      </c>
      <c r="E266">
        <v>13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35">
      <c r="A267" t="s">
        <v>123</v>
      </c>
      <c r="B267">
        <v>2</v>
      </c>
      <c r="C267">
        <v>7</v>
      </c>
      <c r="D267">
        <v>5</v>
      </c>
      <c r="E267">
        <v>11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35">
      <c r="A268" t="s">
        <v>120</v>
      </c>
      <c r="B268">
        <v>1</v>
      </c>
      <c r="C268">
        <v>5</v>
      </c>
      <c r="D268">
        <v>48</v>
      </c>
      <c r="E268">
        <v>12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35">
      <c r="A269" t="s">
        <v>122</v>
      </c>
      <c r="B269">
        <v>1</v>
      </c>
      <c r="C269">
        <v>4</v>
      </c>
      <c r="D269">
        <v>1</v>
      </c>
      <c r="E269">
        <v>10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35">
      <c r="A270" t="s">
        <v>124</v>
      </c>
      <c r="B270">
        <v>2</v>
      </c>
      <c r="C270">
        <v>6</v>
      </c>
      <c r="D270">
        <v>5</v>
      </c>
      <c r="E270">
        <v>9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35">
      <c r="A271" t="s">
        <v>119</v>
      </c>
      <c r="B271">
        <v>1</v>
      </c>
      <c r="C271">
        <v>3</v>
      </c>
      <c r="D271">
        <v>1</v>
      </c>
      <c r="E271">
        <v>6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35">
      <c r="A272" t="s">
        <v>125</v>
      </c>
      <c r="B272">
        <v>1</v>
      </c>
      <c r="C272">
        <v>2</v>
      </c>
      <c r="D272">
        <v>17</v>
      </c>
      <c r="E272">
        <v>12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35">
      <c r="A273" t="s">
        <v>119</v>
      </c>
      <c r="B273">
        <v>1</v>
      </c>
      <c r="C273">
        <v>3</v>
      </c>
      <c r="D273">
        <v>1</v>
      </c>
      <c r="E273">
        <v>6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35">
      <c r="A274" t="s">
        <v>35</v>
      </c>
      <c r="B274">
        <v>3</v>
      </c>
      <c r="C274">
        <v>3</v>
      </c>
      <c r="D274">
        <v>4</v>
      </c>
      <c r="E274">
        <v>5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35">
      <c r="A275" t="s">
        <v>35</v>
      </c>
      <c r="B275">
        <v>3</v>
      </c>
      <c r="C275">
        <v>3</v>
      </c>
      <c r="D275">
        <v>4</v>
      </c>
      <c r="E275">
        <v>5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35">
      <c r="A276" t="s">
        <v>126</v>
      </c>
      <c r="B276">
        <v>1</v>
      </c>
      <c r="C276">
        <v>3</v>
      </c>
      <c r="D276">
        <v>5</v>
      </c>
      <c r="E276">
        <v>4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35">
      <c r="A277" t="s">
        <v>130</v>
      </c>
      <c r="B277">
        <v>3</v>
      </c>
      <c r="C277">
        <v>18</v>
      </c>
      <c r="D277">
        <v>55</v>
      </c>
      <c r="E277">
        <v>12</v>
      </c>
      <c r="F277">
        <v>4</v>
      </c>
      <c r="G277" t="b">
        <v>1</v>
      </c>
      <c r="H277" t="b">
        <v>1</v>
      </c>
      <c r="I277" t="b">
        <v>1</v>
      </c>
    </row>
    <row r="278" spans="1:9" x14ac:dyDescent="0.35">
      <c r="A278" t="s">
        <v>127</v>
      </c>
      <c r="B278">
        <v>2</v>
      </c>
      <c r="C278">
        <v>13</v>
      </c>
      <c r="D278">
        <v>5</v>
      </c>
      <c r="E278">
        <v>3</v>
      </c>
      <c r="F278">
        <v>4</v>
      </c>
      <c r="G278" t="b">
        <v>1</v>
      </c>
      <c r="H278" t="b">
        <v>1</v>
      </c>
      <c r="I278" t="b">
        <v>1</v>
      </c>
    </row>
    <row r="279" spans="1:9" x14ac:dyDescent="0.35">
      <c r="A279" t="s">
        <v>129</v>
      </c>
      <c r="B279">
        <v>1</v>
      </c>
      <c r="C279">
        <v>1</v>
      </c>
      <c r="D279">
        <v>2</v>
      </c>
      <c r="E279">
        <v>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35">
      <c r="A280" t="s">
        <v>128</v>
      </c>
      <c r="B280">
        <v>4</v>
      </c>
      <c r="C280">
        <v>15</v>
      </c>
      <c r="D280">
        <v>1</v>
      </c>
      <c r="E280">
        <v>2</v>
      </c>
      <c r="F280">
        <v>10</v>
      </c>
      <c r="G280" t="b">
        <v>1</v>
      </c>
      <c r="H280" t="b">
        <v>1</v>
      </c>
      <c r="I280" t="b">
        <v>1</v>
      </c>
    </row>
    <row r="281" spans="1:9" x14ac:dyDescent="0.35">
      <c r="A281" t="s">
        <v>126</v>
      </c>
      <c r="B281">
        <v>4</v>
      </c>
      <c r="C281">
        <v>13</v>
      </c>
      <c r="D281">
        <v>19</v>
      </c>
      <c r="E281">
        <v>9</v>
      </c>
      <c r="F281">
        <v>110031</v>
      </c>
      <c r="G281" t="b">
        <v>1</v>
      </c>
      <c r="H281" t="b">
        <v>1</v>
      </c>
      <c r="I281" t="b">
        <v>1</v>
      </c>
    </row>
    <row r="282" spans="1:9" x14ac:dyDescent="0.35">
      <c r="A282" t="s">
        <v>128</v>
      </c>
      <c r="B282">
        <v>4</v>
      </c>
      <c r="C282">
        <v>15</v>
      </c>
      <c r="D282">
        <v>1</v>
      </c>
      <c r="E282">
        <v>2</v>
      </c>
      <c r="F282">
        <v>10</v>
      </c>
      <c r="G282" t="b">
        <v>1</v>
      </c>
      <c r="H282" t="b">
        <v>1</v>
      </c>
      <c r="I282" t="b">
        <v>1</v>
      </c>
    </row>
    <row r="283" spans="1:9" x14ac:dyDescent="0.35">
      <c r="A283" t="s">
        <v>134</v>
      </c>
      <c r="B283">
        <v>3</v>
      </c>
      <c r="C283">
        <v>79</v>
      </c>
      <c r="D283">
        <v>413</v>
      </c>
      <c r="E283">
        <v>10</v>
      </c>
      <c r="F283">
        <v>3</v>
      </c>
      <c r="G283" t="b">
        <v>1</v>
      </c>
      <c r="H283" t="b">
        <v>1</v>
      </c>
      <c r="I283" t="b">
        <v>1</v>
      </c>
    </row>
    <row r="284" spans="1:9" x14ac:dyDescent="0.35">
      <c r="A284" t="s">
        <v>132</v>
      </c>
      <c r="B284">
        <v>2</v>
      </c>
      <c r="C284">
        <v>43</v>
      </c>
      <c r="D284">
        <v>51</v>
      </c>
      <c r="E284">
        <v>2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35">
      <c r="A285" t="s">
        <v>131</v>
      </c>
      <c r="B285">
        <v>4</v>
      </c>
      <c r="C285">
        <v>74</v>
      </c>
      <c r="D285">
        <v>408</v>
      </c>
      <c r="E285">
        <v>9</v>
      </c>
      <c r="F285">
        <v>2</v>
      </c>
      <c r="G285" t="b">
        <v>1</v>
      </c>
      <c r="H285" t="b">
        <v>1</v>
      </c>
      <c r="I285" t="b">
        <v>1</v>
      </c>
    </row>
    <row r="286" spans="1:9" x14ac:dyDescent="0.35">
      <c r="A286" t="s">
        <v>133</v>
      </c>
      <c r="B286">
        <v>1</v>
      </c>
      <c r="C286">
        <v>37</v>
      </c>
      <c r="D286">
        <v>41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35">
      <c r="A287" t="s">
        <v>135</v>
      </c>
      <c r="B287">
        <v>3</v>
      </c>
      <c r="C287">
        <v>167</v>
      </c>
      <c r="D287">
        <v>501</v>
      </c>
      <c r="E287">
        <v>12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35">
      <c r="A288" t="s">
        <v>133</v>
      </c>
      <c r="B288">
        <v>1</v>
      </c>
      <c r="C288">
        <v>45</v>
      </c>
      <c r="D288">
        <v>45</v>
      </c>
      <c r="E288">
        <v>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35">
      <c r="A289" t="s">
        <v>131</v>
      </c>
      <c r="B289">
        <v>1</v>
      </c>
      <c r="C289">
        <v>126</v>
      </c>
      <c r="D289">
        <v>460</v>
      </c>
      <c r="E289">
        <v>10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35">
      <c r="A290" t="s">
        <v>133</v>
      </c>
      <c r="B290">
        <v>1</v>
      </c>
      <c r="C290">
        <v>45</v>
      </c>
      <c r="D290">
        <v>45</v>
      </c>
      <c r="E290">
        <v>1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35">
      <c r="A291" t="s">
        <v>132</v>
      </c>
      <c r="B291">
        <v>2</v>
      </c>
      <c r="C291">
        <v>51</v>
      </c>
      <c r="D291">
        <v>56</v>
      </c>
      <c r="E291">
        <v>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35">
      <c r="A292" t="s">
        <v>132</v>
      </c>
      <c r="B292">
        <v>2</v>
      </c>
      <c r="C292">
        <v>51</v>
      </c>
      <c r="D292">
        <v>56</v>
      </c>
      <c r="E292">
        <v>2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35">
      <c r="A293" t="s">
        <v>132</v>
      </c>
      <c r="B293">
        <v>2</v>
      </c>
      <c r="C293">
        <v>51</v>
      </c>
      <c r="D293">
        <v>56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35">
      <c r="A294" t="s">
        <v>132</v>
      </c>
      <c r="B294">
        <v>2</v>
      </c>
      <c r="C294">
        <v>51</v>
      </c>
      <c r="D294">
        <v>56</v>
      </c>
      <c r="E294">
        <v>2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35">
      <c r="A295" t="s">
        <v>132</v>
      </c>
      <c r="B295">
        <v>2</v>
      </c>
      <c r="C295">
        <v>43</v>
      </c>
      <c r="D295">
        <v>51</v>
      </c>
      <c r="E295">
        <v>2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35">
      <c r="A296" t="s">
        <v>132</v>
      </c>
      <c r="B296">
        <v>2</v>
      </c>
      <c r="C296">
        <v>43</v>
      </c>
      <c r="D296">
        <v>51</v>
      </c>
      <c r="E296">
        <v>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35">
      <c r="A297" t="s">
        <v>136</v>
      </c>
      <c r="B297">
        <v>2</v>
      </c>
      <c r="C297">
        <v>2</v>
      </c>
      <c r="D297">
        <v>3</v>
      </c>
      <c r="E297">
        <v>7</v>
      </c>
      <c r="F297">
        <v>2</v>
      </c>
      <c r="G297" t="b">
        <v>1</v>
      </c>
      <c r="H297" t="b">
        <v>1</v>
      </c>
      <c r="I297" t="b">
        <v>1</v>
      </c>
    </row>
    <row r="298" spans="1:9" x14ac:dyDescent="0.35">
      <c r="A298" t="s">
        <v>133</v>
      </c>
      <c r="B298">
        <v>1</v>
      </c>
      <c r="C298">
        <v>45</v>
      </c>
      <c r="D298">
        <v>45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35">
      <c r="A299" t="s">
        <v>133</v>
      </c>
      <c r="B299">
        <v>1</v>
      </c>
      <c r="C299">
        <v>45</v>
      </c>
      <c r="D299">
        <v>45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35">
      <c r="A300" t="s">
        <v>132</v>
      </c>
      <c r="B300">
        <v>2</v>
      </c>
      <c r="C300">
        <v>35</v>
      </c>
      <c r="D300">
        <v>46</v>
      </c>
      <c r="E300">
        <v>2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35">
      <c r="A301" t="s">
        <v>35</v>
      </c>
      <c r="B301">
        <v>3</v>
      </c>
      <c r="C301">
        <v>3</v>
      </c>
      <c r="D301">
        <v>4</v>
      </c>
      <c r="E301">
        <v>5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35">
      <c r="A302" t="s">
        <v>140</v>
      </c>
      <c r="B302">
        <v>1</v>
      </c>
      <c r="C302">
        <v>4</v>
      </c>
      <c r="D302">
        <v>1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35">
      <c r="A303" t="s">
        <v>137</v>
      </c>
      <c r="B303">
        <v>3</v>
      </c>
      <c r="C303">
        <v>3</v>
      </c>
      <c r="D303">
        <v>4</v>
      </c>
      <c r="E303">
        <v>6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35">
      <c r="A304" t="s">
        <v>141</v>
      </c>
      <c r="B304">
        <v>8</v>
      </c>
      <c r="C304">
        <v>31</v>
      </c>
      <c r="D304">
        <v>62</v>
      </c>
      <c r="E304">
        <v>14</v>
      </c>
      <c r="F304">
        <v>9</v>
      </c>
      <c r="G304" t="b">
        <v>1</v>
      </c>
      <c r="H304" t="b">
        <v>1</v>
      </c>
      <c r="I304" t="b">
        <v>1</v>
      </c>
    </row>
    <row r="305" spans="1:9" x14ac:dyDescent="0.35">
      <c r="A305" t="s">
        <v>138</v>
      </c>
      <c r="B305">
        <v>5</v>
      </c>
      <c r="C305">
        <v>35</v>
      </c>
      <c r="D305">
        <v>8</v>
      </c>
      <c r="E305">
        <v>3</v>
      </c>
      <c r="F305">
        <v>10</v>
      </c>
      <c r="G305" t="b">
        <v>1</v>
      </c>
      <c r="H305" t="b">
        <v>1</v>
      </c>
      <c r="I305" t="b">
        <v>1</v>
      </c>
    </row>
    <row r="306" spans="1:9" x14ac:dyDescent="0.35">
      <c r="A306" t="s">
        <v>139</v>
      </c>
      <c r="B306">
        <v>5</v>
      </c>
      <c r="C306">
        <v>4</v>
      </c>
      <c r="D306">
        <v>3</v>
      </c>
      <c r="E306">
        <v>6</v>
      </c>
      <c r="F306">
        <v>200021</v>
      </c>
      <c r="G306" t="b">
        <v>1</v>
      </c>
      <c r="H306" t="b">
        <v>1</v>
      </c>
      <c r="I306" t="b">
        <v>1</v>
      </c>
    </row>
    <row r="307" spans="1:9" x14ac:dyDescent="0.35">
      <c r="A307" t="s">
        <v>137</v>
      </c>
      <c r="B307">
        <v>5</v>
      </c>
      <c r="C307">
        <v>9</v>
      </c>
      <c r="D307">
        <v>3</v>
      </c>
      <c r="E307">
        <v>5</v>
      </c>
      <c r="F307">
        <v>3</v>
      </c>
      <c r="G307" t="b">
        <v>1</v>
      </c>
      <c r="H307" t="b">
        <v>1</v>
      </c>
      <c r="I307" t="b">
        <v>1</v>
      </c>
    </row>
    <row r="308" spans="1:9" x14ac:dyDescent="0.35">
      <c r="A308" t="s">
        <v>139</v>
      </c>
      <c r="B308">
        <v>5</v>
      </c>
      <c r="C308">
        <v>4</v>
      </c>
      <c r="D308">
        <v>3</v>
      </c>
      <c r="E308">
        <v>6</v>
      </c>
      <c r="F308">
        <v>200021</v>
      </c>
      <c r="G308" t="b">
        <v>1</v>
      </c>
      <c r="H308" t="b">
        <v>1</v>
      </c>
      <c r="I308" t="b">
        <v>1</v>
      </c>
    </row>
    <row r="309" spans="1:9" x14ac:dyDescent="0.35">
      <c r="A309" t="s">
        <v>137</v>
      </c>
      <c r="B309">
        <v>5</v>
      </c>
      <c r="C309">
        <v>9</v>
      </c>
      <c r="D309">
        <v>3</v>
      </c>
      <c r="E309">
        <v>5</v>
      </c>
      <c r="F309">
        <v>3</v>
      </c>
      <c r="G309" t="b">
        <v>1</v>
      </c>
      <c r="H309" t="b">
        <v>1</v>
      </c>
      <c r="I309" t="b">
        <v>1</v>
      </c>
    </row>
    <row r="310" spans="1:9" x14ac:dyDescent="0.35">
      <c r="A310" t="s">
        <v>137</v>
      </c>
      <c r="B310">
        <v>3</v>
      </c>
      <c r="C310">
        <v>3</v>
      </c>
      <c r="D310">
        <v>3</v>
      </c>
      <c r="E310">
        <v>3</v>
      </c>
      <c r="F310">
        <v>3</v>
      </c>
      <c r="G310" t="b">
        <v>1</v>
      </c>
      <c r="H310" t="b">
        <v>1</v>
      </c>
      <c r="I310" t="b">
        <v>1</v>
      </c>
    </row>
    <row r="311" spans="1:9" x14ac:dyDescent="0.35">
      <c r="A311" t="s">
        <v>139</v>
      </c>
      <c r="B311">
        <v>3</v>
      </c>
      <c r="C311">
        <v>2</v>
      </c>
      <c r="D311">
        <v>3</v>
      </c>
      <c r="E311">
        <v>4</v>
      </c>
      <c r="F311">
        <v>200021</v>
      </c>
      <c r="G311" t="b">
        <v>1</v>
      </c>
      <c r="H311" t="b">
        <v>1</v>
      </c>
      <c r="I311" t="b">
        <v>1</v>
      </c>
    </row>
    <row r="312" spans="1:9" x14ac:dyDescent="0.35">
      <c r="A312" t="s">
        <v>142</v>
      </c>
      <c r="B312">
        <v>9</v>
      </c>
      <c r="C312">
        <v>36</v>
      </c>
      <c r="D312">
        <v>67</v>
      </c>
      <c r="E312">
        <v>17</v>
      </c>
      <c r="F312">
        <v>9</v>
      </c>
      <c r="G312" t="b">
        <v>1</v>
      </c>
      <c r="H312" t="b">
        <v>1</v>
      </c>
      <c r="I312" t="b">
        <v>1</v>
      </c>
    </row>
    <row r="313" spans="1:9" x14ac:dyDescent="0.35">
      <c r="A313" t="s">
        <v>138</v>
      </c>
      <c r="B313">
        <v>5</v>
      </c>
      <c r="C313">
        <v>35</v>
      </c>
      <c r="D313">
        <v>8</v>
      </c>
      <c r="E313">
        <v>3</v>
      </c>
      <c r="F313">
        <v>10</v>
      </c>
      <c r="G313" t="b">
        <v>1</v>
      </c>
      <c r="H313" t="b">
        <v>1</v>
      </c>
      <c r="I313" t="b">
        <v>1</v>
      </c>
    </row>
    <row r="314" spans="1:9" x14ac:dyDescent="0.35">
      <c r="A314" t="s">
        <v>137</v>
      </c>
      <c r="B314">
        <v>2</v>
      </c>
      <c r="C314">
        <v>2</v>
      </c>
      <c r="D314">
        <v>3</v>
      </c>
      <c r="E314">
        <v>5</v>
      </c>
      <c r="F314">
        <v>2</v>
      </c>
      <c r="G314" t="b">
        <v>1</v>
      </c>
      <c r="H314" t="b">
        <v>1</v>
      </c>
      <c r="I314" t="b">
        <v>1</v>
      </c>
    </row>
    <row r="315" spans="1:9" x14ac:dyDescent="0.35">
      <c r="A315" t="s">
        <v>140</v>
      </c>
      <c r="B315">
        <v>1</v>
      </c>
      <c r="C315">
        <v>4</v>
      </c>
      <c r="D315">
        <v>1</v>
      </c>
      <c r="E315">
        <v>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35">
      <c r="A316" t="s">
        <v>143</v>
      </c>
      <c r="B316">
        <v>1</v>
      </c>
      <c r="C316">
        <v>1</v>
      </c>
      <c r="D316">
        <v>1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35">
      <c r="A317" t="s">
        <v>143</v>
      </c>
      <c r="B317">
        <v>1</v>
      </c>
      <c r="C317">
        <v>1</v>
      </c>
      <c r="D317">
        <v>1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35">
      <c r="A318" t="s">
        <v>144</v>
      </c>
      <c r="B318">
        <v>2</v>
      </c>
      <c r="C318">
        <v>5</v>
      </c>
      <c r="D318">
        <v>5</v>
      </c>
      <c r="E318">
        <v>2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35">
      <c r="A319" t="s">
        <v>144</v>
      </c>
      <c r="B319">
        <v>2</v>
      </c>
      <c r="C319">
        <v>5</v>
      </c>
      <c r="D319">
        <v>5</v>
      </c>
      <c r="E319">
        <v>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35">
      <c r="A320" t="s">
        <v>143</v>
      </c>
      <c r="B320">
        <v>1</v>
      </c>
      <c r="C320">
        <v>1</v>
      </c>
      <c r="D320">
        <v>1</v>
      </c>
      <c r="E320">
        <v>1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35">
      <c r="A321" t="s">
        <v>143</v>
      </c>
      <c r="B321">
        <v>1</v>
      </c>
      <c r="C321">
        <v>1</v>
      </c>
      <c r="D321">
        <v>1</v>
      </c>
      <c r="E321">
        <v>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35">
      <c r="A322" t="s">
        <v>144</v>
      </c>
      <c r="B322">
        <v>2</v>
      </c>
      <c r="C322">
        <v>5</v>
      </c>
      <c r="D322">
        <v>5</v>
      </c>
      <c r="E322">
        <v>2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35">
      <c r="A323" t="s">
        <v>144</v>
      </c>
      <c r="B323">
        <v>2</v>
      </c>
      <c r="C323">
        <v>5</v>
      </c>
      <c r="D323">
        <v>5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35">
      <c r="A324" t="s">
        <v>151</v>
      </c>
      <c r="B324">
        <v>3</v>
      </c>
      <c r="C324">
        <v>3</v>
      </c>
      <c r="D324">
        <v>4</v>
      </c>
      <c r="E324">
        <v>6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35">
      <c r="A325" t="s">
        <v>151</v>
      </c>
      <c r="B325">
        <v>3</v>
      </c>
      <c r="C325">
        <v>3</v>
      </c>
      <c r="D325">
        <v>4</v>
      </c>
      <c r="E325">
        <v>6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35">
      <c r="A326" t="s">
        <v>145</v>
      </c>
      <c r="B326">
        <v>1</v>
      </c>
      <c r="C326">
        <v>16</v>
      </c>
      <c r="D326">
        <v>13</v>
      </c>
      <c r="E326">
        <v>5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35">
      <c r="A327" t="s">
        <v>148</v>
      </c>
      <c r="B327">
        <v>3</v>
      </c>
      <c r="C327">
        <v>13</v>
      </c>
      <c r="D327">
        <v>62</v>
      </c>
      <c r="E327">
        <v>15</v>
      </c>
      <c r="F327">
        <v>4</v>
      </c>
      <c r="G327" t="b">
        <v>1</v>
      </c>
      <c r="H327" t="b">
        <v>1</v>
      </c>
      <c r="I327" t="b">
        <v>1</v>
      </c>
    </row>
    <row r="328" spans="1:9" x14ac:dyDescent="0.35">
      <c r="A328" t="s">
        <v>150</v>
      </c>
      <c r="B328">
        <v>3</v>
      </c>
      <c r="C328">
        <v>23</v>
      </c>
      <c r="D328">
        <v>7</v>
      </c>
      <c r="E328">
        <v>7</v>
      </c>
      <c r="F328">
        <v>4</v>
      </c>
      <c r="G328" t="b">
        <v>1</v>
      </c>
      <c r="H328" t="b">
        <v>1</v>
      </c>
      <c r="I328" t="b">
        <v>1</v>
      </c>
    </row>
    <row r="329" spans="1:9" x14ac:dyDescent="0.35">
      <c r="A329" t="s">
        <v>146</v>
      </c>
      <c r="B329">
        <v>2</v>
      </c>
      <c r="C329">
        <v>23</v>
      </c>
      <c r="D329">
        <v>21</v>
      </c>
      <c r="E329">
        <v>10</v>
      </c>
      <c r="F329">
        <v>2</v>
      </c>
      <c r="G329" t="b">
        <v>1</v>
      </c>
      <c r="H329" t="b">
        <v>1</v>
      </c>
      <c r="I329" t="b">
        <v>1</v>
      </c>
    </row>
    <row r="330" spans="1:9" x14ac:dyDescent="0.35">
      <c r="A330" t="s">
        <v>147</v>
      </c>
      <c r="B330">
        <v>10</v>
      </c>
      <c r="C330">
        <v>26</v>
      </c>
      <c r="D330">
        <v>14</v>
      </c>
      <c r="E330">
        <v>5</v>
      </c>
      <c r="F330">
        <v>100021</v>
      </c>
      <c r="G330" t="b">
        <v>1</v>
      </c>
      <c r="H330" t="b">
        <v>1</v>
      </c>
      <c r="I330" t="b">
        <v>1</v>
      </c>
    </row>
    <row r="331" spans="1:9" x14ac:dyDescent="0.35">
      <c r="A331" t="s">
        <v>145</v>
      </c>
      <c r="B331">
        <v>1</v>
      </c>
      <c r="C331">
        <v>16</v>
      </c>
      <c r="D331">
        <v>13</v>
      </c>
      <c r="E331">
        <v>5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35">
      <c r="A332" t="s">
        <v>149</v>
      </c>
      <c r="B332">
        <v>1</v>
      </c>
      <c r="C332">
        <v>40</v>
      </c>
      <c r="D332">
        <v>22</v>
      </c>
      <c r="E332">
        <v>18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35">
      <c r="A333" t="s">
        <v>151</v>
      </c>
      <c r="B333">
        <v>4</v>
      </c>
      <c r="C333">
        <v>4</v>
      </c>
      <c r="D333">
        <v>5</v>
      </c>
      <c r="E333">
        <v>10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35">
      <c r="A334" t="s">
        <v>151</v>
      </c>
      <c r="B334">
        <v>5</v>
      </c>
      <c r="C334">
        <v>5</v>
      </c>
      <c r="D334">
        <v>6</v>
      </c>
      <c r="E334">
        <v>10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35">
      <c r="A335" t="s">
        <v>151</v>
      </c>
      <c r="B335">
        <v>4</v>
      </c>
      <c r="C335">
        <v>4</v>
      </c>
      <c r="D335">
        <v>5</v>
      </c>
      <c r="E335">
        <v>10</v>
      </c>
      <c r="F335">
        <v>2</v>
      </c>
      <c r="G335" t="b">
        <v>1</v>
      </c>
      <c r="H335" t="b">
        <v>1</v>
      </c>
      <c r="I335" t="b">
        <v>1</v>
      </c>
    </row>
    <row r="336" spans="1:9" x14ac:dyDescent="0.35">
      <c r="A336" t="s">
        <v>147</v>
      </c>
      <c r="B336">
        <v>6</v>
      </c>
      <c r="C336">
        <v>10</v>
      </c>
      <c r="D336">
        <v>25</v>
      </c>
      <c r="E336">
        <v>6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35">
      <c r="A337" t="s">
        <v>154</v>
      </c>
      <c r="B337">
        <v>2</v>
      </c>
      <c r="C337">
        <v>26</v>
      </c>
      <c r="D337">
        <v>22</v>
      </c>
      <c r="E337">
        <v>12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35">
      <c r="A338" t="s">
        <v>145</v>
      </c>
      <c r="B338">
        <v>1</v>
      </c>
      <c r="C338">
        <v>24</v>
      </c>
      <c r="D338">
        <v>15</v>
      </c>
      <c r="E338">
        <v>1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35">
      <c r="A339" t="s">
        <v>145</v>
      </c>
      <c r="B339">
        <v>1</v>
      </c>
      <c r="C339">
        <v>21</v>
      </c>
      <c r="D339">
        <v>15</v>
      </c>
      <c r="E339">
        <v>7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35">
      <c r="A340" t="s">
        <v>160</v>
      </c>
      <c r="B340">
        <v>2</v>
      </c>
      <c r="C340">
        <v>27</v>
      </c>
      <c r="D340">
        <v>25</v>
      </c>
      <c r="E340">
        <v>8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35">
      <c r="A341" t="s">
        <v>161</v>
      </c>
      <c r="B341">
        <v>3</v>
      </c>
      <c r="C341">
        <v>34</v>
      </c>
      <c r="D341">
        <v>22</v>
      </c>
      <c r="E341">
        <v>6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35">
      <c r="A342" t="s">
        <v>160</v>
      </c>
      <c r="B342">
        <v>2</v>
      </c>
      <c r="C342">
        <v>27</v>
      </c>
      <c r="D342">
        <v>25</v>
      </c>
      <c r="E342">
        <v>8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35">
      <c r="A343" t="s">
        <v>147</v>
      </c>
      <c r="B343">
        <v>6</v>
      </c>
      <c r="C343">
        <v>37</v>
      </c>
      <c r="D343">
        <v>26</v>
      </c>
      <c r="E343">
        <v>7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35">
      <c r="A344" t="s">
        <v>158</v>
      </c>
      <c r="B344">
        <v>8</v>
      </c>
      <c r="C344">
        <v>8</v>
      </c>
      <c r="D344">
        <v>10</v>
      </c>
      <c r="E344">
        <v>12</v>
      </c>
      <c r="F344">
        <v>2</v>
      </c>
      <c r="G344" t="b">
        <v>1</v>
      </c>
      <c r="H344" t="b">
        <v>1</v>
      </c>
      <c r="I344" t="b">
        <v>1</v>
      </c>
    </row>
    <row r="345" spans="1:9" x14ac:dyDescent="0.35">
      <c r="A345" t="s">
        <v>148</v>
      </c>
      <c r="B345">
        <v>17</v>
      </c>
      <c r="C345">
        <v>13</v>
      </c>
      <c r="D345">
        <v>137</v>
      </c>
      <c r="E345">
        <v>18</v>
      </c>
      <c r="F345">
        <v>7</v>
      </c>
      <c r="G345" t="b">
        <v>1</v>
      </c>
      <c r="H345" t="b">
        <v>1</v>
      </c>
      <c r="I345" t="b">
        <v>1</v>
      </c>
    </row>
    <row r="346" spans="1:9" x14ac:dyDescent="0.35">
      <c r="A346" t="s">
        <v>150</v>
      </c>
      <c r="B346">
        <v>3</v>
      </c>
      <c r="C346">
        <v>35</v>
      </c>
      <c r="D346">
        <v>8</v>
      </c>
      <c r="E346">
        <v>3</v>
      </c>
      <c r="F346">
        <v>4</v>
      </c>
      <c r="G346" t="b">
        <v>1</v>
      </c>
      <c r="H346" t="b">
        <v>1</v>
      </c>
      <c r="I346" t="b">
        <v>1</v>
      </c>
    </row>
    <row r="347" spans="1:9" x14ac:dyDescent="0.35">
      <c r="A347" t="s">
        <v>145</v>
      </c>
      <c r="B347">
        <v>1</v>
      </c>
      <c r="C347">
        <v>24</v>
      </c>
      <c r="D347">
        <v>15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35">
      <c r="A348" t="s">
        <v>152</v>
      </c>
      <c r="B348">
        <v>2</v>
      </c>
      <c r="C348">
        <v>58</v>
      </c>
      <c r="D348">
        <v>52</v>
      </c>
      <c r="E348">
        <v>22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35">
      <c r="A349" t="s">
        <v>152</v>
      </c>
      <c r="B349">
        <v>3</v>
      </c>
      <c r="C349">
        <v>59</v>
      </c>
      <c r="D349">
        <v>53</v>
      </c>
      <c r="E349">
        <v>22</v>
      </c>
      <c r="F349">
        <v>2</v>
      </c>
      <c r="G349" t="b">
        <v>1</v>
      </c>
      <c r="H349" t="b">
        <v>1</v>
      </c>
      <c r="I349" t="b">
        <v>1</v>
      </c>
    </row>
    <row r="350" spans="1:9" x14ac:dyDescent="0.35">
      <c r="A350" t="s">
        <v>152</v>
      </c>
      <c r="B350">
        <v>2</v>
      </c>
      <c r="C350">
        <v>29</v>
      </c>
      <c r="D350">
        <v>48</v>
      </c>
      <c r="E350">
        <v>13</v>
      </c>
      <c r="F350">
        <v>2</v>
      </c>
      <c r="G350" t="b">
        <v>1</v>
      </c>
      <c r="H350" t="b">
        <v>1</v>
      </c>
      <c r="I350" t="b">
        <v>1</v>
      </c>
    </row>
    <row r="351" spans="1:9" x14ac:dyDescent="0.35">
      <c r="A351" t="s">
        <v>153</v>
      </c>
      <c r="B351">
        <v>8</v>
      </c>
      <c r="C351">
        <v>31</v>
      </c>
      <c r="D351">
        <v>30</v>
      </c>
      <c r="E351">
        <v>37</v>
      </c>
      <c r="F351">
        <v>11</v>
      </c>
      <c r="G351" t="b">
        <v>1</v>
      </c>
      <c r="H351" t="b">
        <v>1</v>
      </c>
      <c r="I351" t="b">
        <v>1</v>
      </c>
    </row>
    <row r="352" spans="1:9" x14ac:dyDescent="0.35">
      <c r="A352" t="s">
        <v>160</v>
      </c>
      <c r="B352">
        <v>2</v>
      </c>
      <c r="C352">
        <v>24</v>
      </c>
      <c r="D352">
        <v>22</v>
      </c>
      <c r="E352">
        <v>5</v>
      </c>
      <c r="F352">
        <v>2</v>
      </c>
      <c r="G352" t="b">
        <v>1</v>
      </c>
      <c r="H352" t="b">
        <v>1</v>
      </c>
      <c r="I352" t="b">
        <v>1</v>
      </c>
    </row>
    <row r="353" spans="1:9" x14ac:dyDescent="0.35">
      <c r="A353" t="s">
        <v>161</v>
      </c>
      <c r="B353">
        <v>3</v>
      </c>
      <c r="C353">
        <v>15</v>
      </c>
      <c r="D353">
        <v>21</v>
      </c>
      <c r="E353">
        <v>6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35">
      <c r="A354" t="s">
        <v>157</v>
      </c>
      <c r="B354">
        <v>10</v>
      </c>
      <c r="C354">
        <v>10</v>
      </c>
      <c r="D354">
        <v>12</v>
      </c>
      <c r="E354">
        <v>2</v>
      </c>
      <c r="F354">
        <v>2</v>
      </c>
      <c r="G354" t="b">
        <v>1</v>
      </c>
      <c r="H354" t="b">
        <v>1</v>
      </c>
      <c r="I354" t="b">
        <v>1</v>
      </c>
    </row>
    <row r="355" spans="1:9" x14ac:dyDescent="0.35">
      <c r="A355" t="s">
        <v>156</v>
      </c>
      <c r="B355">
        <v>1</v>
      </c>
      <c r="C355">
        <v>23</v>
      </c>
      <c r="D355">
        <v>17</v>
      </c>
      <c r="E355">
        <v>1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35">
      <c r="A356" t="s">
        <v>162</v>
      </c>
      <c r="B356">
        <v>5</v>
      </c>
      <c r="C356">
        <v>5</v>
      </c>
      <c r="D356">
        <v>7</v>
      </c>
      <c r="E356">
        <v>7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35">
      <c r="A357" t="s">
        <v>156</v>
      </c>
      <c r="B357">
        <v>1</v>
      </c>
      <c r="C357">
        <v>19</v>
      </c>
      <c r="D357">
        <v>15</v>
      </c>
      <c r="E357">
        <v>1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35">
      <c r="A358" t="s">
        <v>155</v>
      </c>
      <c r="B358">
        <v>52</v>
      </c>
      <c r="C358">
        <v>74</v>
      </c>
      <c r="D358">
        <v>118</v>
      </c>
      <c r="E358">
        <v>35</v>
      </c>
      <c r="F358">
        <v>211021</v>
      </c>
      <c r="G358" t="b">
        <v>1</v>
      </c>
      <c r="H358" t="b">
        <v>1</v>
      </c>
      <c r="I358" t="b">
        <v>1</v>
      </c>
    </row>
    <row r="359" spans="1:9" x14ac:dyDescent="0.35">
      <c r="A359" t="s">
        <v>159</v>
      </c>
      <c r="B359">
        <v>7</v>
      </c>
      <c r="C359">
        <v>35</v>
      </c>
      <c r="D359">
        <v>1</v>
      </c>
      <c r="E359">
        <v>2</v>
      </c>
      <c r="F359">
        <v>8</v>
      </c>
      <c r="G359" t="b">
        <v>1</v>
      </c>
      <c r="H359" t="b">
        <v>1</v>
      </c>
      <c r="I359" t="b">
        <v>1</v>
      </c>
    </row>
    <row r="360" spans="1:9" x14ac:dyDescent="0.35">
      <c r="A360" t="s">
        <v>145</v>
      </c>
      <c r="B360">
        <v>1</v>
      </c>
      <c r="C360">
        <v>24</v>
      </c>
      <c r="D360">
        <v>15</v>
      </c>
      <c r="E360">
        <v>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35">
      <c r="A361" t="s">
        <v>154</v>
      </c>
      <c r="B361">
        <v>2</v>
      </c>
      <c r="C361">
        <v>30</v>
      </c>
      <c r="D361">
        <v>25</v>
      </c>
      <c r="E361">
        <v>16</v>
      </c>
      <c r="F361">
        <v>2</v>
      </c>
      <c r="G361" t="b">
        <v>1</v>
      </c>
      <c r="H361" t="b">
        <v>1</v>
      </c>
      <c r="I361" t="b">
        <v>1</v>
      </c>
    </row>
    <row r="362" spans="1:9" x14ac:dyDescent="0.35">
      <c r="A362" t="s">
        <v>151</v>
      </c>
      <c r="B362">
        <v>4</v>
      </c>
      <c r="C362">
        <v>4</v>
      </c>
      <c r="D362">
        <v>5</v>
      </c>
      <c r="E362">
        <v>10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35">
      <c r="A363" t="s">
        <v>151</v>
      </c>
      <c r="B363">
        <v>5</v>
      </c>
      <c r="C363">
        <v>5</v>
      </c>
      <c r="D363">
        <v>6</v>
      </c>
      <c r="E363">
        <v>10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35">
      <c r="A364" t="s">
        <v>151</v>
      </c>
      <c r="B364">
        <v>4</v>
      </c>
      <c r="C364">
        <v>4</v>
      </c>
      <c r="D364">
        <v>5</v>
      </c>
      <c r="E364">
        <v>10</v>
      </c>
      <c r="F364">
        <v>2</v>
      </c>
      <c r="G364" t="b">
        <v>1</v>
      </c>
      <c r="H364" t="b">
        <v>1</v>
      </c>
      <c r="I364" t="b">
        <v>1</v>
      </c>
    </row>
    <row r="365" spans="1:9" x14ac:dyDescent="0.35">
      <c r="A365" t="s">
        <v>161</v>
      </c>
      <c r="B365">
        <v>3</v>
      </c>
      <c r="C365">
        <v>9</v>
      </c>
      <c r="D365">
        <v>21</v>
      </c>
      <c r="E365">
        <v>6</v>
      </c>
      <c r="F365">
        <v>2</v>
      </c>
      <c r="G365" t="b">
        <v>1</v>
      </c>
      <c r="H365" t="b">
        <v>1</v>
      </c>
      <c r="I365" t="b">
        <v>1</v>
      </c>
    </row>
    <row r="366" spans="1:9" x14ac:dyDescent="0.35">
      <c r="A366" t="s">
        <v>147</v>
      </c>
      <c r="B366">
        <v>6</v>
      </c>
      <c r="C366">
        <v>12</v>
      </c>
      <c r="D366">
        <v>25</v>
      </c>
      <c r="E366">
        <v>7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35">
      <c r="A367" t="s">
        <v>160</v>
      </c>
      <c r="B367">
        <v>2</v>
      </c>
      <c r="C367">
        <v>27</v>
      </c>
      <c r="D367">
        <v>25</v>
      </c>
      <c r="E367">
        <v>8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35">
      <c r="A368" t="s">
        <v>163</v>
      </c>
      <c r="B368">
        <v>1</v>
      </c>
      <c r="C368">
        <v>8</v>
      </c>
      <c r="D368">
        <v>84</v>
      </c>
      <c r="E368">
        <v>7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35">
      <c r="A369" t="s">
        <v>160</v>
      </c>
      <c r="B369">
        <v>2</v>
      </c>
      <c r="C369">
        <v>28</v>
      </c>
      <c r="D369">
        <v>25</v>
      </c>
      <c r="E369">
        <v>5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35">
      <c r="A370" t="s">
        <v>154</v>
      </c>
      <c r="B370">
        <v>2</v>
      </c>
      <c r="C370">
        <v>26</v>
      </c>
      <c r="D370">
        <v>22</v>
      </c>
      <c r="E370">
        <v>12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35">
      <c r="A371" t="s">
        <v>145</v>
      </c>
      <c r="B371">
        <v>1</v>
      </c>
      <c r="C371">
        <v>24</v>
      </c>
      <c r="D371">
        <v>15</v>
      </c>
      <c r="E371">
        <v>1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35">
      <c r="A372" t="s">
        <v>145</v>
      </c>
      <c r="B372">
        <v>1</v>
      </c>
      <c r="C372">
        <v>21</v>
      </c>
      <c r="D372">
        <v>15</v>
      </c>
      <c r="E372">
        <v>7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35">
      <c r="A373" t="s">
        <v>160</v>
      </c>
      <c r="B373">
        <v>2</v>
      </c>
      <c r="C373">
        <v>27</v>
      </c>
      <c r="D373">
        <v>25</v>
      </c>
      <c r="E373">
        <v>8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35">
      <c r="A374" t="s">
        <v>147</v>
      </c>
      <c r="B374">
        <v>6</v>
      </c>
      <c r="C374">
        <v>37</v>
      </c>
      <c r="D374">
        <v>26</v>
      </c>
      <c r="E374">
        <v>7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35">
      <c r="A375" t="s">
        <v>160</v>
      </c>
      <c r="B375">
        <v>2</v>
      </c>
      <c r="C375">
        <v>27</v>
      </c>
      <c r="D375">
        <v>25</v>
      </c>
      <c r="E375">
        <v>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35">
      <c r="A376" t="s">
        <v>161</v>
      </c>
      <c r="B376">
        <v>3</v>
      </c>
      <c r="C376">
        <v>34</v>
      </c>
      <c r="D376">
        <v>22</v>
      </c>
      <c r="E376">
        <v>6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35">
      <c r="A377" t="s">
        <v>158</v>
      </c>
      <c r="B377">
        <v>8</v>
      </c>
      <c r="C377">
        <v>8</v>
      </c>
      <c r="D377">
        <v>10</v>
      </c>
      <c r="E377">
        <v>12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35">
      <c r="A378" t="s">
        <v>148</v>
      </c>
      <c r="B378">
        <v>3</v>
      </c>
      <c r="C378">
        <v>13</v>
      </c>
      <c r="D378">
        <v>137</v>
      </c>
      <c r="E378">
        <v>18</v>
      </c>
      <c r="F378">
        <v>4</v>
      </c>
      <c r="G378" t="b">
        <v>1</v>
      </c>
      <c r="H378" t="b">
        <v>1</v>
      </c>
      <c r="I378" t="b">
        <v>1</v>
      </c>
    </row>
    <row r="379" spans="1:9" x14ac:dyDescent="0.35">
      <c r="A379" t="s">
        <v>150</v>
      </c>
      <c r="B379">
        <v>3</v>
      </c>
      <c r="C379">
        <v>35</v>
      </c>
      <c r="D379">
        <v>8</v>
      </c>
      <c r="E379">
        <v>3</v>
      </c>
      <c r="F379">
        <v>4</v>
      </c>
      <c r="G379" t="b">
        <v>1</v>
      </c>
      <c r="H379" t="b">
        <v>1</v>
      </c>
      <c r="I379" t="b">
        <v>1</v>
      </c>
    </row>
    <row r="380" spans="1:9" x14ac:dyDescent="0.35">
      <c r="A380" t="s">
        <v>145</v>
      </c>
      <c r="B380">
        <v>1</v>
      </c>
      <c r="C380">
        <v>24</v>
      </c>
      <c r="D380">
        <v>15</v>
      </c>
      <c r="E380">
        <v>1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35">
      <c r="A381" t="s">
        <v>152</v>
      </c>
      <c r="B381">
        <v>4</v>
      </c>
      <c r="C381">
        <v>84</v>
      </c>
      <c r="D381">
        <v>58</v>
      </c>
      <c r="E381">
        <v>31</v>
      </c>
      <c r="F381">
        <v>2</v>
      </c>
      <c r="G381" t="b">
        <v>1</v>
      </c>
      <c r="H381" t="b">
        <v>1</v>
      </c>
      <c r="I381" t="b">
        <v>1</v>
      </c>
    </row>
    <row r="382" spans="1:9" x14ac:dyDescent="0.35">
      <c r="A382" t="s">
        <v>152</v>
      </c>
      <c r="B382">
        <v>4</v>
      </c>
      <c r="C382">
        <v>84</v>
      </c>
      <c r="D382">
        <v>58</v>
      </c>
      <c r="E382">
        <v>31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35">
      <c r="A383" t="s">
        <v>160</v>
      </c>
      <c r="B383">
        <v>2</v>
      </c>
      <c r="C383">
        <v>28</v>
      </c>
      <c r="D383">
        <v>25</v>
      </c>
      <c r="E383">
        <v>8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35">
      <c r="A384" t="s">
        <v>161</v>
      </c>
      <c r="B384">
        <v>3</v>
      </c>
      <c r="C384">
        <v>42</v>
      </c>
      <c r="D384">
        <v>22</v>
      </c>
      <c r="E384">
        <v>7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35">
      <c r="A385" t="s">
        <v>157</v>
      </c>
      <c r="B385">
        <v>10</v>
      </c>
      <c r="C385">
        <v>10</v>
      </c>
      <c r="D385">
        <v>12</v>
      </c>
      <c r="E385">
        <v>2</v>
      </c>
      <c r="F385">
        <v>2</v>
      </c>
      <c r="G385" t="b">
        <v>1</v>
      </c>
      <c r="H385" t="b">
        <v>1</v>
      </c>
      <c r="I385" t="b">
        <v>1</v>
      </c>
    </row>
    <row r="386" spans="1:9" x14ac:dyDescent="0.35">
      <c r="A386" t="s">
        <v>156</v>
      </c>
      <c r="B386">
        <v>1</v>
      </c>
      <c r="C386">
        <v>23</v>
      </c>
      <c r="D386">
        <v>17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35">
      <c r="A387" t="s">
        <v>156</v>
      </c>
      <c r="B387">
        <v>1</v>
      </c>
      <c r="C387">
        <v>19</v>
      </c>
      <c r="D387">
        <v>15</v>
      </c>
      <c r="E387">
        <v>1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35">
      <c r="A388" t="s">
        <v>155</v>
      </c>
      <c r="B388">
        <v>52</v>
      </c>
      <c r="C388">
        <v>74</v>
      </c>
      <c r="D388">
        <v>118</v>
      </c>
      <c r="E388">
        <v>35</v>
      </c>
      <c r="F388">
        <v>211021</v>
      </c>
      <c r="G388" t="b">
        <v>1</v>
      </c>
      <c r="H388" t="b">
        <v>1</v>
      </c>
      <c r="I388" t="b">
        <v>1</v>
      </c>
    </row>
    <row r="389" spans="1:9" x14ac:dyDescent="0.35">
      <c r="A389" t="s">
        <v>159</v>
      </c>
      <c r="B389">
        <v>7</v>
      </c>
      <c r="C389">
        <v>35</v>
      </c>
      <c r="D389">
        <v>1</v>
      </c>
      <c r="E389">
        <v>2</v>
      </c>
      <c r="F389">
        <v>8</v>
      </c>
      <c r="G389" t="b">
        <v>1</v>
      </c>
      <c r="H389" t="b">
        <v>1</v>
      </c>
      <c r="I389" t="b">
        <v>1</v>
      </c>
    </row>
    <row r="390" spans="1:9" x14ac:dyDescent="0.35">
      <c r="A390" t="s">
        <v>162</v>
      </c>
      <c r="B390">
        <v>5</v>
      </c>
      <c r="C390">
        <v>5</v>
      </c>
      <c r="D390">
        <v>7</v>
      </c>
      <c r="E390">
        <v>7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35">
      <c r="A391" t="s">
        <v>145</v>
      </c>
      <c r="B391">
        <v>1</v>
      </c>
      <c r="C391">
        <v>24</v>
      </c>
      <c r="D391">
        <v>15</v>
      </c>
      <c r="E391">
        <v>1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35">
      <c r="A392" t="s">
        <v>154</v>
      </c>
      <c r="B392">
        <v>2</v>
      </c>
      <c r="C392">
        <v>30</v>
      </c>
      <c r="D392">
        <v>25</v>
      </c>
      <c r="E392">
        <v>16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35">
      <c r="A393" t="s">
        <v>165</v>
      </c>
      <c r="B393">
        <v>7</v>
      </c>
      <c r="C393">
        <v>3</v>
      </c>
      <c r="D393">
        <v>2</v>
      </c>
      <c r="E393">
        <v>5</v>
      </c>
      <c r="F393">
        <v>211021</v>
      </c>
      <c r="G393" t="b">
        <v>1</v>
      </c>
      <c r="H393" t="b">
        <v>1</v>
      </c>
      <c r="I393" t="b">
        <v>1</v>
      </c>
    </row>
    <row r="394" spans="1:9" x14ac:dyDescent="0.35">
      <c r="A394" t="s">
        <v>167</v>
      </c>
      <c r="B394">
        <v>2</v>
      </c>
      <c r="C394">
        <v>19</v>
      </c>
      <c r="D394">
        <v>1</v>
      </c>
      <c r="E394">
        <v>2</v>
      </c>
      <c r="F394">
        <v>5</v>
      </c>
      <c r="G394" t="b">
        <v>1</v>
      </c>
      <c r="H394" t="b">
        <v>1</v>
      </c>
      <c r="I394" t="b">
        <v>1</v>
      </c>
    </row>
    <row r="395" spans="1:9" x14ac:dyDescent="0.35">
      <c r="A395" t="s">
        <v>164</v>
      </c>
      <c r="B395">
        <v>2</v>
      </c>
      <c r="C395">
        <v>20</v>
      </c>
      <c r="D395">
        <v>19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35">
      <c r="A396" t="s">
        <v>166</v>
      </c>
      <c r="B396">
        <v>1</v>
      </c>
      <c r="C396">
        <v>2</v>
      </c>
      <c r="D396">
        <v>1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35">
      <c r="A397" t="s">
        <v>179</v>
      </c>
      <c r="B397">
        <v>4</v>
      </c>
      <c r="C397">
        <v>4</v>
      </c>
      <c r="D397">
        <v>5</v>
      </c>
      <c r="E397">
        <v>7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35">
      <c r="A398" t="s">
        <v>54</v>
      </c>
      <c r="B398">
        <v>1</v>
      </c>
      <c r="C398">
        <v>1</v>
      </c>
      <c r="D398">
        <v>12</v>
      </c>
      <c r="E398">
        <v>1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35">
      <c r="A399" t="s">
        <v>173</v>
      </c>
      <c r="B399">
        <v>1</v>
      </c>
      <c r="C399">
        <v>87</v>
      </c>
      <c r="D399">
        <v>476</v>
      </c>
      <c r="E399">
        <v>15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35">
      <c r="A400" t="s">
        <v>168</v>
      </c>
      <c r="B400">
        <v>1</v>
      </c>
      <c r="C400">
        <v>41</v>
      </c>
      <c r="D400">
        <v>45</v>
      </c>
      <c r="E400">
        <v>3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35">
      <c r="A401" t="s">
        <v>176</v>
      </c>
      <c r="B401">
        <v>3</v>
      </c>
      <c r="C401">
        <v>53</v>
      </c>
      <c r="D401">
        <v>62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35">
      <c r="A402" t="s">
        <v>178</v>
      </c>
      <c r="B402">
        <v>2</v>
      </c>
      <c r="C402">
        <v>2</v>
      </c>
      <c r="D402">
        <v>1</v>
      </c>
      <c r="E402">
        <v>2</v>
      </c>
      <c r="F402">
        <v>6</v>
      </c>
      <c r="G402" t="b">
        <v>1</v>
      </c>
      <c r="H402" t="b">
        <v>1</v>
      </c>
      <c r="I402" t="b">
        <v>1</v>
      </c>
    </row>
    <row r="403" spans="1:9" x14ac:dyDescent="0.35">
      <c r="A403" t="s">
        <v>182</v>
      </c>
      <c r="B403">
        <v>13</v>
      </c>
      <c r="C403">
        <v>20</v>
      </c>
      <c r="D403">
        <v>133</v>
      </c>
      <c r="E403">
        <v>56</v>
      </c>
      <c r="F403">
        <v>3</v>
      </c>
      <c r="G403" t="b">
        <v>1</v>
      </c>
      <c r="H403" t="b">
        <v>1</v>
      </c>
      <c r="I403" t="b">
        <v>1</v>
      </c>
    </row>
    <row r="404" spans="1:9" x14ac:dyDescent="0.35">
      <c r="A404" t="s">
        <v>175</v>
      </c>
      <c r="B404">
        <v>12</v>
      </c>
      <c r="C404">
        <v>44</v>
      </c>
      <c r="D404">
        <v>51</v>
      </c>
      <c r="E404">
        <v>38</v>
      </c>
      <c r="F404">
        <v>11</v>
      </c>
      <c r="G404" t="b">
        <v>1</v>
      </c>
      <c r="H404" t="b">
        <v>1</v>
      </c>
      <c r="I404" t="b">
        <v>1</v>
      </c>
    </row>
    <row r="405" spans="1:9" x14ac:dyDescent="0.35">
      <c r="A405" t="s">
        <v>171</v>
      </c>
      <c r="B405">
        <v>2</v>
      </c>
      <c r="C405">
        <v>49</v>
      </c>
      <c r="D405">
        <v>56</v>
      </c>
      <c r="E405">
        <v>2</v>
      </c>
      <c r="F405">
        <v>2</v>
      </c>
      <c r="G405" t="b">
        <v>1</v>
      </c>
      <c r="H405" t="b">
        <v>1</v>
      </c>
      <c r="I405" t="b">
        <v>1</v>
      </c>
    </row>
    <row r="406" spans="1:9" x14ac:dyDescent="0.35">
      <c r="A406" t="s">
        <v>171</v>
      </c>
      <c r="B406">
        <v>2</v>
      </c>
      <c r="C406">
        <v>49</v>
      </c>
      <c r="D406">
        <v>56</v>
      </c>
      <c r="E406">
        <v>2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35">
      <c r="A407" t="s">
        <v>178</v>
      </c>
      <c r="B407">
        <v>1</v>
      </c>
      <c r="C407">
        <v>82</v>
      </c>
      <c r="D407">
        <v>25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35">
      <c r="A408" t="s">
        <v>171</v>
      </c>
      <c r="B408">
        <v>2</v>
      </c>
      <c r="C408">
        <v>49</v>
      </c>
      <c r="D408">
        <v>56</v>
      </c>
      <c r="E408">
        <v>2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35">
      <c r="A409" t="s">
        <v>178</v>
      </c>
      <c r="B409">
        <v>1</v>
      </c>
      <c r="C409">
        <v>82</v>
      </c>
      <c r="D409">
        <v>25</v>
      </c>
      <c r="E409">
        <v>2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35">
      <c r="A410" t="s">
        <v>172</v>
      </c>
      <c r="B410">
        <v>1</v>
      </c>
      <c r="C410">
        <v>3</v>
      </c>
      <c r="D410">
        <v>45</v>
      </c>
      <c r="E410">
        <v>1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35">
      <c r="A411" t="s">
        <v>172</v>
      </c>
      <c r="B411">
        <v>1</v>
      </c>
      <c r="C411">
        <v>1</v>
      </c>
      <c r="D411">
        <v>8</v>
      </c>
      <c r="E411">
        <v>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35">
      <c r="A412" t="s">
        <v>181</v>
      </c>
      <c r="B412">
        <v>8</v>
      </c>
      <c r="C412">
        <v>4</v>
      </c>
      <c r="D412">
        <v>50</v>
      </c>
      <c r="E412">
        <v>20</v>
      </c>
      <c r="F412">
        <v>5</v>
      </c>
      <c r="G412" t="b">
        <v>1</v>
      </c>
      <c r="H412" t="b">
        <v>1</v>
      </c>
      <c r="I412" t="b">
        <v>1</v>
      </c>
    </row>
    <row r="413" spans="1:9" x14ac:dyDescent="0.35">
      <c r="A413" t="s">
        <v>177</v>
      </c>
      <c r="B413">
        <v>15</v>
      </c>
      <c r="C413">
        <v>50</v>
      </c>
      <c r="D413">
        <v>59</v>
      </c>
      <c r="E413">
        <v>17</v>
      </c>
      <c r="F413">
        <v>11</v>
      </c>
      <c r="G413" t="b">
        <v>1</v>
      </c>
      <c r="H413" t="b">
        <v>1</v>
      </c>
      <c r="I413" t="b">
        <v>1</v>
      </c>
    </row>
    <row r="414" spans="1:9" x14ac:dyDescent="0.35">
      <c r="A414" t="s">
        <v>183</v>
      </c>
      <c r="B414">
        <v>1</v>
      </c>
      <c r="C414">
        <v>9</v>
      </c>
      <c r="D414">
        <v>1</v>
      </c>
      <c r="E414">
        <v>1</v>
      </c>
      <c r="F414">
        <v>2</v>
      </c>
      <c r="G414" t="b">
        <v>1</v>
      </c>
      <c r="H414" t="b">
        <v>1</v>
      </c>
      <c r="I414" t="b">
        <v>1</v>
      </c>
    </row>
    <row r="415" spans="1:9" x14ac:dyDescent="0.35">
      <c r="A415" t="s">
        <v>180</v>
      </c>
      <c r="B415">
        <v>4</v>
      </c>
      <c r="C415">
        <v>57</v>
      </c>
      <c r="D415">
        <v>68</v>
      </c>
      <c r="E415">
        <v>12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35">
      <c r="A416" t="s">
        <v>168</v>
      </c>
      <c r="B416">
        <v>1</v>
      </c>
      <c r="C416">
        <v>41</v>
      </c>
      <c r="D416">
        <v>45</v>
      </c>
      <c r="E416">
        <v>3</v>
      </c>
      <c r="F416">
        <v>2</v>
      </c>
      <c r="G416" t="b">
        <v>1</v>
      </c>
      <c r="H416" t="b">
        <v>1</v>
      </c>
      <c r="I416" t="b">
        <v>1</v>
      </c>
    </row>
    <row r="417" spans="1:9" x14ac:dyDescent="0.35">
      <c r="A417" t="s">
        <v>168</v>
      </c>
      <c r="B417">
        <v>1</v>
      </c>
      <c r="C417">
        <v>41</v>
      </c>
      <c r="D417">
        <v>45</v>
      </c>
      <c r="E417">
        <v>3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35">
      <c r="A418" t="s">
        <v>185</v>
      </c>
      <c r="B418">
        <v>1</v>
      </c>
      <c r="C418">
        <v>1</v>
      </c>
      <c r="D418">
        <v>9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35">
      <c r="A419" t="s">
        <v>186</v>
      </c>
      <c r="B419">
        <v>2</v>
      </c>
      <c r="C419">
        <v>34</v>
      </c>
      <c r="D419">
        <v>181</v>
      </c>
      <c r="E419">
        <v>11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35">
      <c r="A420" t="s">
        <v>176</v>
      </c>
      <c r="B420">
        <v>3</v>
      </c>
      <c r="C420">
        <v>55</v>
      </c>
      <c r="D420">
        <v>63</v>
      </c>
      <c r="E420">
        <v>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35">
      <c r="A421" t="s">
        <v>170</v>
      </c>
      <c r="B421">
        <v>12</v>
      </c>
      <c r="C421">
        <v>31</v>
      </c>
      <c r="D421">
        <v>178</v>
      </c>
      <c r="E421">
        <v>77</v>
      </c>
      <c r="F421">
        <v>5</v>
      </c>
      <c r="G421" t="b">
        <v>1</v>
      </c>
      <c r="H421" t="b">
        <v>1</v>
      </c>
      <c r="I421" t="b">
        <v>1</v>
      </c>
    </row>
    <row r="422" spans="1:9" x14ac:dyDescent="0.35">
      <c r="A422" t="s">
        <v>175</v>
      </c>
      <c r="B422">
        <v>11</v>
      </c>
      <c r="C422">
        <v>46</v>
      </c>
      <c r="D422">
        <v>50</v>
      </c>
      <c r="E422">
        <v>40</v>
      </c>
      <c r="F422">
        <v>11</v>
      </c>
      <c r="G422" t="b">
        <v>1</v>
      </c>
      <c r="H422" t="b">
        <v>1</v>
      </c>
      <c r="I422" t="b">
        <v>1</v>
      </c>
    </row>
    <row r="423" spans="1:9" x14ac:dyDescent="0.35">
      <c r="A423" t="s">
        <v>171</v>
      </c>
      <c r="B423">
        <v>2</v>
      </c>
      <c r="C423">
        <v>51</v>
      </c>
      <c r="D423">
        <v>56</v>
      </c>
      <c r="E423">
        <v>2</v>
      </c>
      <c r="F423">
        <v>2</v>
      </c>
      <c r="G423" t="b">
        <v>1</v>
      </c>
      <c r="H423" t="b">
        <v>1</v>
      </c>
      <c r="I423" t="b">
        <v>1</v>
      </c>
    </row>
    <row r="424" spans="1:9" x14ac:dyDescent="0.35">
      <c r="A424" t="s">
        <v>184</v>
      </c>
      <c r="B424">
        <v>10</v>
      </c>
      <c r="C424">
        <v>34</v>
      </c>
      <c r="D424">
        <v>174</v>
      </c>
      <c r="E424">
        <v>131</v>
      </c>
      <c r="F424">
        <v>5</v>
      </c>
      <c r="G424" t="b">
        <v>1</v>
      </c>
      <c r="H424" t="b">
        <v>1</v>
      </c>
      <c r="I424" t="b">
        <v>1</v>
      </c>
    </row>
    <row r="425" spans="1:9" x14ac:dyDescent="0.35">
      <c r="A425" t="s">
        <v>169</v>
      </c>
      <c r="B425">
        <v>20</v>
      </c>
      <c r="C425">
        <v>63</v>
      </c>
      <c r="D425">
        <v>76</v>
      </c>
      <c r="E425">
        <v>56</v>
      </c>
      <c r="F425">
        <v>11</v>
      </c>
      <c r="G425" t="b">
        <v>1</v>
      </c>
      <c r="H425" t="b">
        <v>1</v>
      </c>
      <c r="I425" t="b">
        <v>1</v>
      </c>
    </row>
    <row r="426" spans="1:9" x14ac:dyDescent="0.35">
      <c r="A426" t="s">
        <v>171</v>
      </c>
      <c r="B426">
        <v>2</v>
      </c>
      <c r="C426">
        <v>51</v>
      </c>
      <c r="D426">
        <v>56</v>
      </c>
      <c r="E426">
        <v>2</v>
      </c>
      <c r="F426">
        <v>2</v>
      </c>
      <c r="G426" t="b">
        <v>1</v>
      </c>
      <c r="H426" t="b">
        <v>1</v>
      </c>
      <c r="I426" t="b">
        <v>1</v>
      </c>
    </row>
    <row r="427" spans="1:9" x14ac:dyDescent="0.35">
      <c r="A427" t="s">
        <v>174</v>
      </c>
      <c r="B427">
        <v>5</v>
      </c>
      <c r="C427">
        <v>5</v>
      </c>
      <c r="D427">
        <v>7</v>
      </c>
      <c r="E427">
        <v>4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35">
      <c r="A428" t="s">
        <v>194</v>
      </c>
      <c r="B428">
        <v>1</v>
      </c>
      <c r="C428">
        <v>8</v>
      </c>
      <c r="D428">
        <v>53</v>
      </c>
      <c r="E428">
        <v>5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35">
      <c r="A429" t="s">
        <v>189</v>
      </c>
      <c r="B429">
        <v>1</v>
      </c>
      <c r="C429">
        <v>27</v>
      </c>
      <c r="D429">
        <v>17</v>
      </c>
      <c r="E429">
        <v>6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35">
      <c r="A430" t="s">
        <v>191</v>
      </c>
      <c r="B430">
        <v>3</v>
      </c>
      <c r="C430">
        <v>59</v>
      </c>
      <c r="D430">
        <v>41</v>
      </c>
      <c r="E430">
        <v>3</v>
      </c>
      <c r="F430">
        <v>2</v>
      </c>
      <c r="G430" t="b">
        <v>1</v>
      </c>
      <c r="H430" t="b">
        <v>1</v>
      </c>
      <c r="I430" t="b">
        <v>1</v>
      </c>
    </row>
    <row r="431" spans="1:9" x14ac:dyDescent="0.35">
      <c r="A431" t="s">
        <v>190</v>
      </c>
      <c r="B431">
        <v>3</v>
      </c>
      <c r="C431">
        <v>34</v>
      </c>
      <c r="D431">
        <v>9</v>
      </c>
      <c r="E431">
        <v>4</v>
      </c>
      <c r="F431">
        <v>4</v>
      </c>
      <c r="G431" t="b">
        <v>1</v>
      </c>
      <c r="H431" t="b">
        <v>1</v>
      </c>
      <c r="I431" t="b">
        <v>1</v>
      </c>
    </row>
    <row r="432" spans="1:9" x14ac:dyDescent="0.35">
      <c r="A432" t="s">
        <v>187</v>
      </c>
      <c r="B432">
        <v>2</v>
      </c>
      <c r="C432">
        <v>54</v>
      </c>
      <c r="D432">
        <v>36</v>
      </c>
      <c r="E432">
        <v>6</v>
      </c>
      <c r="F432">
        <v>2</v>
      </c>
      <c r="G432" t="b">
        <v>1</v>
      </c>
      <c r="H432" t="b">
        <v>1</v>
      </c>
      <c r="I432" t="b">
        <v>1</v>
      </c>
    </row>
    <row r="433" spans="1:9" x14ac:dyDescent="0.35">
      <c r="A433" t="s">
        <v>197</v>
      </c>
      <c r="B433">
        <v>47</v>
      </c>
      <c r="C433">
        <v>89</v>
      </c>
      <c r="D433">
        <v>73</v>
      </c>
      <c r="E433">
        <v>47</v>
      </c>
      <c r="F433">
        <v>210121</v>
      </c>
      <c r="G433" t="b">
        <v>1</v>
      </c>
      <c r="H433" t="b">
        <v>1</v>
      </c>
      <c r="I433" t="b">
        <v>1</v>
      </c>
    </row>
    <row r="434" spans="1:9" x14ac:dyDescent="0.35">
      <c r="A434" t="s">
        <v>190</v>
      </c>
      <c r="B434">
        <v>6</v>
      </c>
      <c r="C434">
        <v>34</v>
      </c>
      <c r="D434">
        <v>9</v>
      </c>
      <c r="E434">
        <v>4</v>
      </c>
      <c r="F434">
        <v>7</v>
      </c>
      <c r="G434" t="b">
        <v>1</v>
      </c>
      <c r="H434" t="b">
        <v>1</v>
      </c>
      <c r="I434" t="b">
        <v>1</v>
      </c>
    </row>
    <row r="435" spans="1:9" x14ac:dyDescent="0.35">
      <c r="A435" t="s">
        <v>195</v>
      </c>
      <c r="B435">
        <v>6</v>
      </c>
      <c r="C435">
        <v>64</v>
      </c>
      <c r="D435">
        <v>47</v>
      </c>
      <c r="E435">
        <v>14</v>
      </c>
      <c r="F435">
        <v>6</v>
      </c>
      <c r="G435" t="b">
        <v>1</v>
      </c>
      <c r="H435" t="b">
        <v>1</v>
      </c>
      <c r="I435" t="b">
        <v>1</v>
      </c>
    </row>
    <row r="436" spans="1:9" x14ac:dyDescent="0.35">
      <c r="A436" t="s">
        <v>201</v>
      </c>
      <c r="B436">
        <v>1</v>
      </c>
      <c r="C436">
        <v>1</v>
      </c>
      <c r="D436">
        <v>30</v>
      </c>
      <c r="E436">
        <v>1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35">
      <c r="A437" t="s">
        <v>198</v>
      </c>
      <c r="B437">
        <v>1</v>
      </c>
      <c r="C437">
        <v>5</v>
      </c>
      <c r="D437">
        <v>38</v>
      </c>
      <c r="E437">
        <v>4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35">
      <c r="A438" t="s">
        <v>189</v>
      </c>
      <c r="B438">
        <v>1</v>
      </c>
      <c r="C438">
        <v>27</v>
      </c>
      <c r="D438">
        <v>17</v>
      </c>
      <c r="E438">
        <v>6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35">
      <c r="A439" t="s">
        <v>200</v>
      </c>
      <c r="B439">
        <v>3</v>
      </c>
      <c r="C439">
        <v>18</v>
      </c>
      <c r="D439">
        <v>161</v>
      </c>
      <c r="E439">
        <v>17</v>
      </c>
      <c r="F439">
        <v>4</v>
      </c>
      <c r="G439" t="b">
        <v>1</v>
      </c>
      <c r="H439" t="b">
        <v>1</v>
      </c>
      <c r="I439" t="b">
        <v>1</v>
      </c>
    </row>
    <row r="440" spans="1:9" x14ac:dyDescent="0.35">
      <c r="A440" t="s">
        <v>190</v>
      </c>
      <c r="B440">
        <v>3</v>
      </c>
      <c r="C440">
        <v>34</v>
      </c>
      <c r="D440">
        <v>9</v>
      </c>
      <c r="E440">
        <v>4</v>
      </c>
      <c r="F440">
        <v>4</v>
      </c>
      <c r="G440" t="b">
        <v>1</v>
      </c>
      <c r="H440" t="b">
        <v>1</v>
      </c>
      <c r="I440" t="b">
        <v>1</v>
      </c>
    </row>
    <row r="441" spans="1:9" x14ac:dyDescent="0.35">
      <c r="A441" t="s">
        <v>187</v>
      </c>
      <c r="B441">
        <v>3</v>
      </c>
      <c r="C441">
        <v>84</v>
      </c>
      <c r="D441">
        <v>41</v>
      </c>
      <c r="E441">
        <v>7</v>
      </c>
      <c r="F441">
        <v>2</v>
      </c>
      <c r="G441" t="b">
        <v>1</v>
      </c>
      <c r="H441" t="b">
        <v>1</v>
      </c>
      <c r="I441" t="b">
        <v>1</v>
      </c>
    </row>
    <row r="442" spans="1:9" x14ac:dyDescent="0.35">
      <c r="A442" t="s">
        <v>191</v>
      </c>
      <c r="B442">
        <v>4</v>
      </c>
      <c r="C442">
        <v>89</v>
      </c>
      <c r="D442">
        <v>46</v>
      </c>
      <c r="E442">
        <v>4</v>
      </c>
      <c r="F442">
        <v>2</v>
      </c>
      <c r="G442" t="b">
        <v>1</v>
      </c>
      <c r="H442" t="b">
        <v>1</v>
      </c>
      <c r="I442" t="b">
        <v>1</v>
      </c>
    </row>
    <row r="443" spans="1:9" x14ac:dyDescent="0.35">
      <c r="A443" t="s">
        <v>188</v>
      </c>
      <c r="B443">
        <v>16</v>
      </c>
      <c r="C443">
        <v>33</v>
      </c>
      <c r="D443">
        <v>176</v>
      </c>
      <c r="E443">
        <v>23</v>
      </c>
      <c r="F443">
        <v>7</v>
      </c>
      <c r="G443" t="b">
        <v>1</v>
      </c>
      <c r="H443" t="b">
        <v>1</v>
      </c>
      <c r="I443" t="b">
        <v>1</v>
      </c>
    </row>
    <row r="444" spans="1:9" x14ac:dyDescent="0.35">
      <c r="A444" t="s">
        <v>190</v>
      </c>
      <c r="B444">
        <v>3</v>
      </c>
      <c r="C444">
        <v>38</v>
      </c>
      <c r="D444">
        <v>10</v>
      </c>
      <c r="E444">
        <v>4</v>
      </c>
      <c r="F444">
        <v>4</v>
      </c>
      <c r="G444" t="b">
        <v>1</v>
      </c>
      <c r="H444" t="b">
        <v>1</v>
      </c>
      <c r="I444" t="b">
        <v>1</v>
      </c>
    </row>
    <row r="445" spans="1:9" x14ac:dyDescent="0.35">
      <c r="A445" t="s">
        <v>202</v>
      </c>
      <c r="B445">
        <v>4</v>
      </c>
      <c r="C445">
        <v>4</v>
      </c>
      <c r="D445">
        <v>6</v>
      </c>
      <c r="E445">
        <v>5</v>
      </c>
      <c r="F445">
        <v>2</v>
      </c>
      <c r="G445" t="b">
        <v>1</v>
      </c>
      <c r="H445" t="b">
        <v>1</v>
      </c>
      <c r="I445" t="b">
        <v>1</v>
      </c>
    </row>
    <row r="446" spans="1:9" x14ac:dyDescent="0.35">
      <c r="A446" t="s">
        <v>193</v>
      </c>
      <c r="B446">
        <v>2</v>
      </c>
      <c r="C446">
        <v>29</v>
      </c>
      <c r="D446">
        <v>23</v>
      </c>
      <c r="E446">
        <v>2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35">
      <c r="A447" t="s">
        <v>195</v>
      </c>
      <c r="B447">
        <v>3</v>
      </c>
      <c r="C447">
        <v>76</v>
      </c>
      <c r="D447">
        <v>48</v>
      </c>
      <c r="E447">
        <v>15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35">
      <c r="A448" t="s">
        <v>194</v>
      </c>
      <c r="B448">
        <v>1</v>
      </c>
      <c r="C448">
        <v>9</v>
      </c>
      <c r="D448">
        <v>62</v>
      </c>
      <c r="E448">
        <v>14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35">
      <c r="A449" t="s">
        <v>189</v>
      </c>
      <c r="B449">
        <v>1</v>
      </c>
      <c r="C449">
        <v>27</v>
      </c>
      <c r="D449">
        <v>17</v>
      </c>
      <c r="E449">
        <v>6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35">
      <c r="A450" t="s">
        <v>192</v>
      </c>
      <c r="B450">
        <v>1</v>
      </c>
      <c r="C450">
        <v>1</v>
      </c>
      <c r="D450">
        <v>25</v>
      </c>
      <c r="E450">
        <v>1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35">
      <c r="A451" t="s">
        <v>189</v>
      </c>
      <c r="B451">
        <v>1</v>
      </c>
      <c r="C451">
        <v>30</v>
      </c>
      <c r="D451">
        <v>19</v>
      </c>
      <c r="E451">
        <v>6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35">
      <c r="A452" t="s">
        <v>199</v>
      </c>
      <c r="B452">
        <v>4</v>
      </c>
      <c r="C452">
        <v>63</v>
      </c>
      <c r="D452">
        <v>28</v>
      </c>
      <c r="E452">
        <v>13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35">
      <c r="A453" t="s">
        <v>196</v>
      </c>
      <c r="B453">
        <v>4</v>
      </c>
      <c r="C453">
        <v>4</v>
      </c>
      <c r="D453">
        <v>5</v>
      </c>
      <c r="E453">
        <v>7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35">
      <c r="A454" t="s">
        <v>206</v>
      </c>
      <c r="B454">
        <v>1</v>
      </c>
      <c r="C454">
        <v>9</v>
      </c>
      <c r="D454">
        <v>1</v>
      </c>
      <c r="E454">
        <v>1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35">
      <c r="A455" t="s">
        <v>206</v>
      </c>
      <c r="B455">
        <v>1</v>
      </c>
      <c r="C455">
        <v>9</v>
      </c>
      <c r="D455">
        <v>1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35">
      <c r="A456" t="s">
        <v>206</v>
      </c>
      <c r="B456">
        <v>1</v>
      </c>
      <c r="C456">
        <v>9</v>
      </c>
      <c r="D456">
        <v>1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35">
      <c r="A457" t="s">
        <v>206</v>
      </c>
      <c r="B457">
        <v>1</v>
      </c>
      <c r="C457">
        <v>11</v>
      </c>
      <c r="D457">
        <v>1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35">
      <c r="A458" t="s">
        <v>206</v>
      </c>
      <c r="B458">
        <v>1</v>
      </c>
      <c r="C458">
        <v>9</v>
      </c>
      <c r="D458">
        <v>1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35">
      <c r="A459" t="s">
        <v>191</v>
      </c>
      <c r="B459">
        <v>2</v>
      </c>
      <c r="C459">
        <v>49</v>
      </c>
      <c r="D459">
        <v>42</v>
      </c>
      <c r="E459">
        <v>3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35">
      <c r="A460" t="s">
        <v>206</v>
      </c>
      <c r="B460">
        <v>1</v>
      </c>
      <c r="C460">
        <v>9</v>
      </c>
      <c r="D460">
        <v>1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35">
      <c r="A461" t="s">
        <v>206</v>
      </c>
      <c r="B461">
        <v>1</v>
      </c>
      <c r="C461">
        <v>9</v>
      </c>
      <c r="D461">
        <v>1</v>
      </c>
      <c r="E461">
        <v>1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35">
      <c r="A462" t="s">
        <v>187</v>
      </c>
      <c r="B462">
        <v>1</v>
      </c>
      <c r="C462">
        <v>43</v>
      </c>
      <c r="D462">
        <v>36</v>
      </c>
      <c r="E462">
        <v>6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35">
      <c r="A463" t="s">
        <v>195</v>
      </c>
      <c r="B463">
        <v>8</v>
      </c>
      <c r="C463">
        <v>94</v>
      </c>
      <c r="D463">
        <v>65</v>
      </c>
      <c r="E463">
        <v>21</v>
      </c>
      <c r="F463">
        <v>6</v>
      </c>
      <c r="G463" t="b">
        <v>1</v>
      </c>
      <c r="H463" t="b">
        <v>1</v>
      </c>
      <c r="I463" t="b">
        <v>1</v>
      </c>
    </row>
    <row r="464" spans="1:9" x14ac:dyDescent="0.35">
      <c r="A464" t="s">
        <v>207</v>
      </c>
      <c r="B464">
        <v>1</v>
      </c>
      <c r="C464">
        <v>27</v>
      </c>
      <c r="D464">
        <v>19</v>
      </c>
      <c r="E464">
        <v>1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35">
      <c r="A465" t="s">
        <v>201</v>
      </c>
      <c r="B465">
        <v>1</v>
      </c>
      <c r="C465">
        <v>1</v>
      </c>
      <c r="D465">
        <v>34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35">
      <c r="A466" t="s">
        <v>203</v>
      </c>
      <c r="B466">
        <v>17</v>
      </c>
      <c r="C466">
        <v>30</v>
      </c>
      <c r="D466">
        <v>268</v>
      </c>
      <c r="E466">
        <v>18</v>
      </c>
      <c r="F466">
        <v>7</v>
      </c>
      <c r="G466" t="b">
        <v>1</v>
      </c>
      <c r="H466" t="b">
        <v>1</v>
      </c>
      <c r="I466" t="b">
        <v>1</v>
      </c>
    </row>
    <row r="467" spans="1:9" x14ac:dyDescent="0.35">
      <c r="A467" t="s">
        <v>210</v>
      </c>
      <c r="B467">
        <v>3</v>
      </c>
      <c r="C467">
        <v>42</v>
      </c>
      <c r="D467">
        <v>10</v>
      </c>
      <c r="E467">
        <v>4</v>
      </c>
      <c r="F467">
        <v>4</v>
      </c>
      <c r="G467" t="b">
        <v>1</v>
      </c>
      <c r="H467" t="b">
        <v>1</v>
      </c>
      <c r="I467" t="b">
        <v>1</v>
      </c>
    </row>
    <row r="468" spans="1:9" x14ac:dyDescent="0.35">
      <c r="A468" t="s">
        <v>209</v>
      </c>
      <c r="B468">
        <v>1</v>
      </c>
      <c r="C468">
        <v>1</v>
      </c>
      <c r="D468">
        <v>7</v>
      </c>
      <c r="E468">
        <v>1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35">
      <c r="A469" t="s">
        <v>192</v>
      </c>
      <c r="B469">
        <v>1</v>
      </c>
      <c r="C469">
        <v>1</v>
      </c>
      <c r="D469">
        <v>29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35">
      <c r="A470" t="s">
        <v>205</v>
      </c>
      <c r="B470">
        <v>2</v>
      </c>
      <c r="C470">
        <v>35</v>
      </c>
      <c r="D470">
        <v>31</v>
      </c>
      <c r="E470">
        <v>8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35">
      <c r="A471" t="s">
        <v>201</v>
      </c>
      <c r="B471">
        <v>1</v>
      </c>
      <c r="C471">
        <v>1</v>
      </c>
      <c r="D471">
        <v>34</v>
      </c>
      <c r="E471">
        <v>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35">
      <c r="A472" t="s">
        <v>195</v>
      </c>
      <c r="B472">
        <v>6</v>
      </c>
      <c r="C472">
        <v>94</v>
      </c>
      <c r="D472">
        <v>65</v>
      </c>
      <c r="E472">
        <v>21</v>
      </c>
      <c r="F472">
        <v>2</v>
      </c>
      <c r="G472" t="b">
        <v>1</v>
      </c>
      <c r="H472" t="b">
        <v>1</v>
      </c>
      <c r="I472" t="b">
        <v>1</v>
      </c>
    </row>
    <row r="473" spans="1:9" x14ac:dyDescent="0.35">
      <c r="A473" t="s">
        <v>205</v>
      </c>
      <c r="B473">
        <v>2</v>
      </c>
      <c r="C473">
        <v>31</v>
      </c>
      <c r="D473">
        <v>28</v>
      </c>
      <c r="E473">
        <v>7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35">
      <c r="A474" t="s">
        <v>187</v>
      </c>
      <c r="B474">
        <v>2</v>
      </c>
      <c r="C474">
        <v>70</v>
      </c>
      <c r="D474">
        <v>40</v>
      </c>
      <c r="E474">
        <v>6</v>
      </c>
      <c r="F474">
        <v>2</v>
      </c>
      <c r="G474" t="b">
        <v>1</v>
      </c>
      <c r="H474" t="b">
        <v>1</v>
      </c>
      <c r="I474" t="b">
        <v>1</v>
      </c>
    </row>
    <row r="475" spans="1:9" x14ac:dyDescent="0.35">
      <c r="A475" t="s">
        <v>201</v>
      </c>
      <c r="B475">
        <v>1</v>
      </c>
      <c r="C475">
        <v>1</v>
      </c>
      <c r="D475">
        <v>34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35">
      <c r="A476" t="s">
        <v>191</v>
      </c>
      <c r="B476">
        <v>3</v>
      </c>
      <c r="C476">
        <v>76</v>
      </c>
      <c r="D476">
        <v>46</v>
      </c>
      <c r="E476">
        <v>3</v>
      </c>
      <c r="F476">
        <v>2</v>
      </c>
      <c r="G476" t="b">
        <v>1</v>
      </c>
      <c r="H476" t="b">
        <v>1</v>
      </c>
      <c r="I476" t="b">
        <v>1</v>
      </c>
    </row>
    <row r="477" spans="1:9" x14ac:dyDescent="0.35">
      <c r="A477" t="s">
        <v>207</v>
      </c>
      <c r="B477">
        <v>1</v>
      </c>
      <c r="C477">
        <v>27</v>
      </c>
      <c r="D477">
        <v>19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35">
      <c r="A478" t="s">
        <v>202</v>
      </c>
      <c r="B478">
        <v>5</v>
      </c>
      <c r="C478">
        <v>5</v>
      </c>
      <c r="D478">
        <v>7</v>
      </c>
      <c r="E478">
        <v>7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35">
      <c r="A479" t="s">
        <v>202</v>
      </c>
      <c r="B479">
        <v>4</v>
      </c>
      <c r="C479">
        <v>4</v>
      </c>
      <c r="D479">
        <v>6</v>
      </c>
      <c r="E479">
        <v>5</v>
      </c>
      <c r="F479">
        <v>2</v>
      </c>
      <c r="G479" t="b">
        <v>1</v>
      </c>
      <c r="H479" t="b">
        <v>1</v>
      </c>
      <c r="I479" t="b">
        <v>1</v>
      </c>
    </row>
    <row r="480" spans="1:9" x14ac:dyDescent="0.35">
      <c r="A480" t="s">
        <v>204</v>
      </c>
      <c r="B480">
        <v>3</v>
      </c>
      <c r="C480">
        <v>19</v>
      </c>
      <c r="D480">
        <v>21</v>
      </c>
      <c r="E480">
        <v>7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35">
      <c r="A481" t="s">
        <v>204</v>
      </c>
      <c r="B481">
        <v>3</v>
      </c>
      <c r="C481">
        <v>19</v>
      </c>
      <c r="D481">
        <v>21</v>
      </c>
      <c r="E481">
        <v>7</v>
      </c>
      <c r="F481">
        <v>2</v>
      </c>
      <c r="G481" t="b">
        <v>1</v>
      </c>
      <c r="H481" t="b">
        <v>1</v>
      </c>
      <c r="I481" t="b">
        <v>1</v>
      </c>
    </row>
    <row r="482" spans="1:9" x14ac:dyDescent="0.35">
      <c r="A482" t="s">
        <v>204</v>
      </c>
      <c r="B482">
        <v>4</v>
      </c>
      <c r="C482">
        <v>19</v>
      </c>
      <c r="D482">
        <v>21</v>
      </c>
      <c r="E482">
        <v>7</v>
      </c>
      <c r="F482">
        <v>6</v>
      </c>
      <c r="G482" t="b">
        <v>1</v>
      </c>
      <c r="H482" t="b">
        <v>1</v>
      </c>
      <c r="I482" t="b">
        <v>1</v>
      </c>
    </row>
    <row r="483" spans="1:9" x14ac:dyDescent="0.35">
      <c r="A483" t="s">
        <v>206</v>
      </c>
      <c r="B483">
        <v>1</v>
      </c>
      <c r="C483">
        <v>9</v>
      </c>
      <c r="D483">
        <v>1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35">
      <c r="A484" t="s">
        <v>206</v>
      </c>
      <c r="B484">
        <v>1</v>
      </c>
      <c r="C484">
        <v>9</v>
      </c>
      <c r="D484">
        <v>1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35">
      <c r="A485" t="s">
        <v>206</v>
      </c>
      <c r="B485">
        <v>1</v>
      </c>
      <c r="C485">
        <v>11</v>
      </c>
      <c r="D485">
        <v>1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35">
      <c r="A486" t="s">
        <v>206</v>
      </c>
      <c r="B486">
        <v>1</v>
      </c>
      <c r="C486">
        <v>11</v>
      </c>
      <c r="D486">
        <v>1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35">
      <c r="A487" t="s">
        <v>205</v>
      </c>
      <c r="B487">
        <v>2</v>
      </c>
      <c r="C487">
        <v>32</v>
      </c>
      <c r="D487">
        <v>28</v>
      </c>
      <c r="E487">
        <v>7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35">
      <c r="A488" t="s">
        <v>204</v>
      </c>
      <c r="B488">
        <v>3</v>
      </c>
      <c r="C488">
        <v>56</v>
      </c>
      <c r="D488">
        <v>22</v>
      </c>
      <c r="E488">
        <v>8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35">
      <c r="A489" t="s">
        <v>205</v>
      </c>
      <c r="B489">
        <v>2</v>
      </c>
      <c r="C489">
        <v>32</v>
      </c>
      <c r="D489">
        <v>28</v>
      </c>
      <c r="E489">
        <v>7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35">
      <c r="A490" t="s">
        <v>204</v>
      </c>
      <c r="B490">
        <v>3</v>
      </c>
      <c r="C490">
        <v>56</v>
      </c>
      <c r="D490">
        <v>22</v>
      </c>
      <c r="E490">
        <v>8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35">
      <c r="A491" t="s">
        <v>196</v>
      </c>
      <c r="B491">
        <v>4</v>
      </c>
      <c r="C491">
        <v>4</v>
      </c>
      <c r="D491">
        <v>5</v>
      </c>
      <c r="E491">
        <v>8</v>
      </c>
      <c r="F491">
        <v>2</v>
      </c>
      <c r="G491" t="b">
        <v>1</v>
      </c>
      <c r="H491" t="b">
        <v>1</v>
      </c>
      <c r="I491" t="b">
        <v>1</v>
      </c>
    </row>
    <row r="492" spans="1:9" x14ac:dyDescent="0.35">
      <c r="A492" t="s">
        <v>208</v>
      </c>
      <c r="B492">
        <v>17</v>
      </c>
      <c r="C492">
        <v>5</v>
      </c>
      <c r="D492">
        <v>33</v>
      </c>
      <c r="E492">
        <v>14</v>
      </c>
      <c r="F492">
        <v>200021</v>
      </c>
      <c r="G492" t="b">
        <v>1</v>
      </c>
      <c r="H492" t="b">
        <v>1</v>
      </c>
      <c r="I492" t="b">
        <v>1</v>
      </c>
    </row>
    <row r="493" spans="1:9" x14ac:dyDescent="0.35">
      <c r="A493" t="s">
        <v>205</v>
      </c>
      <c r="B493">
        <v>2</v>
      </c>
      <c r="C493">
        <v>31</v>
      </c>
      <c r="D493">
        <v>28</v>
      </c>
      <c r="E493">
        <v>7</v>
      </c>
      <c r="F493">
        <v>2</v>
      </c>
      <c r="G493" t="b">
        <v>1</v>
      </c>
      <c r="H493" t="b">
        <v>1</v>
      </c>
      <c r="I493" t="b">
        <v>1</v>
      </c>
    </row>
    <row r="494" spans="1:9" x14ac:dyDescent="0.35">
      <c r="A494" t="s">
        <v>204</v>
      </c>
      <c r="B494">
        <v>12</v>
      </c>
      <c r="C494">
        <v>50</v>
      </c>
      <c r="D494">
        <v>22</v>
      </c>
      <c r="E494">
        <v>7</v>
      </c>
      <c r="F494">
        <v>100021</v>
      </c>
      <c r="G494" t="b">
        <v>1</v>
      </c>
      <c r="H494" t="b">
        <v>1</v>
      </c>
      <c r="I494" t="b">
        <v>1</v>
      </c>
    </row>
    <row r="495" spans="1:9" x14ac:dyDescent="0.35">
      <c r="A495" t="s">
        <v>206</v>
      </c>
      <c r="B495">
        <v>1</v>
      </c>
      <c r="C495">
        <v>9</v>
      </c>
      <c r="D495">
        <v>1</v>
      </c>
      <c r="E495">
        <v>1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35">
      <c r="A496" t="s">
        <v>206</v>
      </c>
      <c r="B496">
        <v>1</v>
      </c>
      <c r="C496">
        <v>9</v>
      </c>
      <c r="D496">
        <v>1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35">
      <c r="A497" t="s">
        <v>187</v>
      </c>
      <c r="B497">
        <v>1</v>
      </c>
      <c r="C497">
        <v>43</v>
      </c>
      <c r="D497">
        <v>36</v>
      </c>
      <c r="E497">
        <v>6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35">
      <c r="A498" t="s">
        <v>212</v>
      </c>
      <c r="B498">
        <v>4</v>
      </c>
      <c r="C498">
        <v>51</v>
      </c>
      <c r="D498">
        <v>38</v>
      </c>
      <c r="E498">
        <v>6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35">
      <c r="A499" t="s">
        <v>212</v>
      </c>
      <c r="B499">
        <v>4</v>
      </c>
      <c r="C499">
        <v>51</v>
      </c>
      <c r="D499">
        <v>38</v>
      </c>
      <c r="E499">
        <v>6</v>
      </c>
      <c r="F499">
        <v>2</v>
      </c>
      <c r="G499" t="b">
        <v>1</v>
      </c>
      <c r="H499" t="b">
        <v>1</v>
      </c>
      <c r="I499" t="b">
        <v>1</v>
      </c>
    </row>
    <row r="500" spans="1:9" x14ac:dyDescent="0.35">
      <c r="A500" t="s">
        <v>213</v>
      </c>
      <c r="B500">
        <v>3</v>
      </c>
      <c r="C500">
        <v>46</v>
      </c>
      <c r="D500">
        <v>32</v>
      </c>
      <c r="E500">
        <v>17</v>
      </c>
      <c r="F500">
        <v>2</v>
      </c>
      <c r="G500" t="b">
        <v>1</v>
      </c>
      <c r="H500" t="b">
        <v>1</v>
      </c>
      <c r="I500" t="b">
        <v>1</v>
      </c>
    </row>
    <row r="501" spans="1:9" x14ac:dyDescent="0.35">
      <c r="A501" t="s">
        <v>212</v>
      </c>
      <c r="B501">
        <v>6</v>
      </c>
      <c r="C501">
        <v>51</v>
      </c>
      <c r="D501">
        <v>38</v>
      </c>
      <c r="E501">
        <v>6</v>
      </c>
      <c r="F501">
        <v>6</v>
      </c>
      <c r="G501" t="b">
        <v>1</v>
      </c>
      <c r="H501" t="b">
        <v>1</v>
      </c>
      <c r="I501" t="b">
        <v>1</v>
      </c>
    </row>
    <row r="502" spans="1:9" x14ac:dyDescent="0.35">
      <c r="A502" t="s">
        <v>164</v>
      </c>
      <c r="B502">
        <v>1</v>
      </c>
      <c r="C502">
        <v>17</v>
      </c>
      <c r="D502">
        <v>13</v>
      </c>
      <c r="E502">
        <v>1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35">
      <c r="A503" t="s">
        <v>211</v>
      </c>
      <c r="B503">
        <v>2</v>
      </c>
      <c r="C503">
        <v>2</v>
      </c>
      <c r="D503">
        <v>7</v>
      </c>
      <c r="E503">
        <v>2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35">
      <c r="A504" t="s">
        <v>164</v>
      </c>
      <c r="B504">
        <v>1</v>
      </c>
      <c r="C504">
        <v>10</v>
      </c>
      <c r="D504">
        <v>12</v>
      </c>
      <c r="E504">
        <v>5</v>
      </c>
      <c r="F504">
        <v>3</v>
      </c>
      <c r="G504" t="b">
        <v>1</v>
      </c>
      <c r="H504" t="b">
        <v>1</v>
      </c>
      <c r="I504" t="b">
        <v>1</v>
      </c>
    </row>
    <row r="505" spans="1:9" x14ac:dyDescent="0.35">
      <c r="A505" t="s">
        <v>212</v>
      </c>
      <c r="B505">
        <v>9</v>
      </c>
      <c r="C505">
        <v>76</v>
      </c>
      <c r="D505">
        <v>43</v>
      </c>
      <c r="E505">
        <v>7</v>
      </c>
      <c r="F505">
        <v>6</v>
      </c>
      <c r="G505" t="b">
        <v>1</v>
      </c>
      <c r="H505" t="b">
        <v>1</v>
      </c>
      <c r="I505" t="b">
        <v>1</v>
      </c>
    </row>
    <row r="506" spans="1:9" x14ac:dyDescent="0.35">
      <c r="A506" t="s">
        <v>214</v>
      </c>
      <c r="B506">
        <v>1</v>
      </c>
      <c r="C506">
        <v>1</v>
      </c>
      <c r="D506">
        <v>1</v>
      </c>
      <c r="E506">
        <v>2</v>
      </c>
      <c r="F506">
        <v>2</v>
      </c>
      <c r="G506" t="b">
        <v>1</v>
      </c>
      <c r="H506" t="b">
        <v>1</v>
      </c>
      <c r="I506" t="b">
        <v>1</v>
      </c>
    </row>
    <row r="507" spans="1:9" x14ac:dyDescent="0.35">
      <c r="A507" t="s">
        <v>211</v>
      </c>
      <c r="B507">
        <v>2</v>
      </c>
      <c r="C507">
        <v>2</v>
      </c>
      <c r="D507">
        <v>7</v>
      </c>
      <c r="E507">
        <v>2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35">
      <c r="A508" t="s">
        <v>164</v>
      </c>
      <c r="B508">
        <v>1</v>
      </c>
      <c r="C508">
        <v>10</v>
      </c>
      <c r="D508">
        <v>12</v>
      </c>
      <c r="E508">
        <v>5</v>
      </c>
      <c r="F508">
        <v>3</v>
      </c>
      <c r="G508" t="b">
        <v>1</v>
      </c>
      <c r="H508" t="b">
        <v>1</v>
      </c>
      <c r="I508" t="b">
        <v>1</v>
      </c>
    </row>
    <row r="509" spans="1:9" x14ac:dyDescent="0.35">
      <c r="A509" t="s">
        <v>212</v>
      </c>
      <c r="B509">
        <v>5</v>
      </c>
      <c r="C509">
        <v>76</v>
      </c>
      <c r="D509">
        <v>43</v>
      </c>
      <c r="E509">
        <v>7</v>
      </c>
      <c r="F509">
        <v>2</v>
      </c>
      <c r="G509" t="b">
        <v>1</v>
      </c>
      <c r="H509" t="b">
        <v>1</v>
      </c>
      <c r="I509" t="b">
        <v>1</v>
      </c>
    </row>
    <row r="510" spans="1:9" x14ac:dyDescent="0.35">
      <c r="A510" t="s">
        <v>212</v>
      </c>
      <c r="B510">
        <v>5</v>
      </c>
      <c r="C510">
        <v>76</v>
      </c>
      <c r="D510">
        <v>43</v>
      </c>
      <c r="E510">
        <v>7</v>
      </c>
      <c r="F510">
        <v>2</v>
      </c>
      <c r="G510" t="b">
        <v>1</v>
      </c>
      <c r="H510" t="b">
        <v>1</v>
      </c>
      <c r="I510" t="b">
        <v>1</v>
      </c>
    </row>
    <row r="511" spans="1:9" x14ac:dyDescent="0.35">
      <c r="A511" t="s">
        <v>214</v>
      </c>
      <c r="B511">
        <v>1</v>
      </c>
      <c r="C511">
        <v>1</v>
      </c>
      <c r="D511">
        <v>1</v>
      </c>
      <c r="E511">
        <v>2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35">
      <c r="A512" t="s">
        <v>212</v>
      </c>
      <c r="B512">
        <v>6</v>
      </c>
      <c r="C512">
        <v>51</v>
      </c>
      <c r="D512">
        <v>38</v>
      </c>
      <c r="E512">
        <v>6</v>
      </c>
      <c r="F512">
        <v>6</v>
      </c>
      <c r="G512" t="b">
        <v>1</v>
      </c>
      <c r="H512" t="b">
        <v>1</v>
      </c>
      <c r="I512" t="b">
        <v>1</v>
      </c>
    </row>
    <row r="513" spans="1:9" x14ac:dyDescent="0.35">
      <c r="A513" t="s">
        <v>212</v>
      </c>
      <c r="B513">
        <v>11</v>
      </c>
      <c r="C513">
        <v>130</v>
      </c>
      <c r="D513">
        <v>115</v>
      </c>
      <c r="E513">
        <v>7</v>
      </c>
      <c r="F513">
        <v>6</v>
      </c>
      <c r="G513" t="b">
        <v>1</v>
      </c>
      <c r="H513" t="b">
        <v>1</v>
      </c>
      <c r="I513" t="b">
        <v>1</v>
      </c>
    </row>
    <row r="514" spans="1:9" x14ac:dyDescent="0.35">
      <c r="A514" t="s">
        <v>213</v>
      </c>
      <c r="B514">
        <v>5</v>
      </c>
      <c r="C514">
        <v>102</v>
      </c>
      <c r="D514">
        <v>86</v>
      </c>
      <c r="E514">
        <v>21</v>
      </c>
      <c r="F514">
        <v>2</v>
      </c>
      <c r="G514" t="b">
        <v>1</v>
      </c>
      <c r="H514" t="b">
        <v>1</v>
      </c>
      <c r="I514" t="b">
        <v>1</v>
      </c>
    </row>
    <row r="515" spans="1:9" x14ac:dyDescent="0.35">
      <c r="A515" t="s">
        <v>215</v>
      </c>
      <c r="B515">
        <v>8</v>
      </c>
      <c r="C515">
        <v>415</v>
      </c>
      <c r="D515">
        <v>58</v>
      </c>
      <c r="E515">
        <v>6</v>
      </c>
      <c r="F515">
        <v>6</v>
      </c>
      <c r="G515" t="b">
        <v>1</v>
      </c>
      <c r="H515" t="b">
        <v>1</v>
      </c>
      <c r="I515" t="b">
        <v>1</v>
      </c>
    </row>
    <row r="516" spans="1:9" x14ac:dyDescent="0.35">
      <c r="A516" t="s">
        <v>217</v>
      </c>
      <c r="B516">
        <v>6</v>
      </c>
      <c r="C516">
        <v>79</v>
      </c>
      <c r="D516">
        <v>109</v>
      </c>
      <c r="E516">
        <v>8</v>
      </c>
      <c r="F516">
        <v>2</v>
      </c>
      <c r="G516" t="b">
        <v>1</v>
      </c>
      <c r="H516" t="b">
        <v>1</v>
      </c>
      <c r="I516" t="b">
        <v>1</v>
      </c>
    </row>
    <row r="517" spans="1:9" x14ac:dyDescent="0.35">
      <c r="A517" t="s">
        <v>214</v>
      </c>
      <c r="B517">
        <v>1</v>
      </c>
      <c r="C517">
        <v>1</v>
      </c>
      <c r="D517">
        <v>1</v>
      </c>
      <c r="E517">
        <v>2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35">
      <c r="A518" t="s">
        <v>214</v>
      </c>
      <c r="B518">
        <v>1</v>
      </c>
      <c r="C518">
        <v>1</v>
      </c>
      <c r="D518">
        <v>1</v>
      </c>
      <c r="E518">
        <v>6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35">
      <c r="A519" t="s">
        <v>212</v>
      </c>
      <c r="B519">
        <v>7</v>
      </c>
      <c r="C519">
        <v>130</v>
      </c>
      <c r="D519">
        <v>115</v>
      </c>
      <c r="E519">
        <v>7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35">
      <c r="A520" t="s">
        <v>212</v>
      </c>
      <c r="B520">
        <v>4</v>
      </c>
      <c r="C520">
        <v>77</v>
      </c>
      <c r="D520">
        <v>105</v>
      </c>
      <c r="E520">
        <v>4</v>
      </c>
      <c r="F520">
        <v>2</v>
      </c>
      <c r="G520" t="b">
        <v>1</v>
      </c>
      <c r="H520" t="b">
        <v>1</v>
      </c>
      <c r="I520" t="b">
        <v>1</v>
      </c>
    </row>
    <row r="521" spans="1:9" x14ac:dyDescent="0.35">
      <c r="A521" t="s">
        <v>214</v>
      </c>
      <c r="B521">
        <v>1</v>
      </c>
      <c r="C521">
        <v>1</v>
      </c>
      <c r="D521">
        <v>1</v>
      </c>
      <c r="E521">
        <v>2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35">
      <c r="A522" t="s">
        <v>213</v>
      </c>
      <c r="B522">
        <v>3</v>
      </c>
      <c r="C522">
        <v>2</v>
      </c>
      <c r="D522">
        <v>4</v>
      </c>
      <c r="E522">
        <v>9</v>
      </c>
      <c r="F522">
        <v>2</v>
      </c>
      <c r="G522" t="b">
        <v>1</v>
      </c>
      <c r="H522" t="b">
        <v>1</v>
      </c>
      <c r="I522" t="b">
        <v>1</v>
      </c>
    </row>
    <row r="523" spans="1:9" x14ac:dyDescent="0.35">
      <c r="A523" t="s">
        <v>216</v>
      </c>
      <c r="B523">
        <v>4</v>
      </c>
      <c r="C523">
        <v>51</v>
      </c>
      <c r="D523">
        <v>80</v>
      </c>
      <c r="E523">
        <v>21</v>
      </c>
      <c r="F523">
        <v>2</v>
      </c>
      <c r="G523" t="b">
        <v>1</v>
      </c>
      <c r="H523" t="b">
        <v>1</v>
      </c>
      <c r="I523" t="b">
        <v>1</v>
      </c>
    </row>
    <row r="524" spans="1:9" x14ac:dyDescent="0.35">
      <c r="A524" t="s">
        <v>212</v>
      </c>
      <c r="B524">
        <v>7</v>
      </c>
      <c r="C524">
        <v>130</v>
      </c>
      <c r="D524">
        <v>115</v>
      </c>
      <c r="E524">
        <v>7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35">
      <c r="A525" t="s">
        <v>212</v>
      </c>
      <c r="B525">
        <v>11</v>
      </c>
      <c r="C525">
        <v>130</v>
      </c>
      <c r="D525">
        <v>115</v>
      </c>
      <c r="E525">
        <v>7</v>
      </c>
      <c r="F525">
        <v>6</v>
      </c>
      <c r="G525" t="b">
        <v>1</v>
      </c>
      <c r="H525" t="b">
        <v>1</v>
      </c>
      <c r="I525" t="b">
        <v>1</v>
      </c>
    </row>
    <row r="526" spans="1:9" x14ac:dyDescent="0.35">
      <c r="A526" t="s">
        <v>213</v>
      </c>
      <c r="B526">
        <v>3</v>
      </c>
      <c r="C526">
        <v>50</v>
      </c>
      <c r="D526">
        <v>79</v>
      </c>
      <c r="E526">
        <v>10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35">
      <c r="A527" t="s">
        <v>216</v>
      </c>
      <c r="B527">
        <v>10</v>
      </c>
      <c r="C527">
        <v>103</v>
      </c>
      <c r="D527">
        <v>87</v>
      </c>
      <c r="E527">
        <v>32</v>
      </c>
      <c r="F527">
        <v>6</v>
      </c>
      <c r="G527" t="b">
        <v>1</v>
      </c>
      <c r="H527" t="b">
        <v>1</v>
      </c>
      <c r="I527" t="b">
        <v>1</v>
      </c>
    </row>
    <row r="528" spans="1:9" x14ac:dyDescent="0.35">
      <c r="A528" t="s">
        <v>212</v>
      </c>
      <c r="B528">
        <v>7</v>
      </c>
      <c r="C528">
        <v>130</v>
      </c>
      <c r="D528">
        <v>115</v>
      </c>
      <c r="E528">
        <v>7</v>
      </c>
      <c r="F528">
        <v>2</v>
      </c>
      <c r="G528" t="b">
        <v>1</v>
      </c>
      <c r="H528" t="b">
        <v>1</v>
      </c>
      <c r="I528" t="b">
        <v>1</v>
      </c>
    </row>
    <row r="529" spans="1:9" x14ac:dyDescent="0.35">
      <c r="A529" t="s">
        <v>213</v>
      </c>
      <c r="B529">
        <v>5</v>
      </c>
      <c r="C529">
        <v>102</v>
      </c>
      <c r="D529">
        <v>86</v>
      </c>
      <c r="E529">
        <v>21</v>
      </c>
      <c r="F529">
        <v>2</v>
      </c>
      <c r="G529" t="b">
        <v>1</v>
      </c>
      <c r="H529" t="b">
        <v>1</v>
      </c>
      <c r="I529" t="b">
        <v>1</v>
      </c>
    </row>
    <row r="530" spans="1:9" x14ac:dyDescent="0.35">
      <c r="A530" t="s">
        <v>215</v>
      </c>
      <c r="B530">
        <v>2</v>
      </c>
      <c r="C530">
        <v>363</v>
      </c>
      <c r="D530">
        <v>51</v>
      </c>
      <c r="E530">
        <v>5</v>
      </c>
      <c r="F530">
        <v>2</v>
      </c>
      <c r="G530" t="b">
        <v>1</v>
      </c>
      <c r="H530" t="b">
        <v>1</v>
      </c>
      <c r="I530" t="b">
        <v>1</v>
      </c>
    </row>
    <row r="531" spans="1:9" x14ac:dyDescent="0.35">
      <c r="A531" t="s">
        <v>213</v>
      </c>
      <c r="B531">
        <v>3</v>
      </c>
      <c r="C531">
        <v>50</v>
      </c>
      <c r="D531">
        <v>79</v>
      </c>
      <c r="E531">
        <v>10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35">
      <c r="A532" t="s">
        <v>212</v>
      </c>
      <c r="B532">
        <v>7</v>
      </c>
      <c r="C532">
        <v>130</v>
      </c>
      <c r="D532">
        <v>115</v>
      </c>
      <c r="E532">
        <v>7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35">
      <c r="A533" t="s">
        <v>213</v>
      </c>
      <c r="B533">
        <v>5</v>
      </c>
      <c r="C533">
        <v>102</v>
      </c>
      <c r="D533">
        <v>86</v>
      </c>
      <c r="E533">
        <v>21</v>
      </c>
      <c r="F533">
        <v>2</v>
      </c>
      <c r="G533" t="b">
        <v>1</v>
      </c>
      <c r="H533" t="b">
        <v>1</v>
      </c>
      <c r="I533" t="b">
        <v>1</v>
      </c>
    </row>
    <row r="534" spans="1:9" x14ac:dyDescent="0.35">
      <c r="A534" t="s">
        <v>213</v>
      </c>
      <c r="B534">
        <v>5</v>
      </c>
      <c r="C534">
        <v>102</v>
      </c>
      <c r="D534">
        <v>86</v>
      </c>
      <c r="E534">
        <v>21</v>
      </c>
      <c r="F534">
        <v>2</v>
      </c>
      <c r="G534" t="b">
        <v>1</v>
      </c>
      <c r="H534" t="b">
        <v>1</v>
      </c>
      <c r="I534" t="b">
        <v>1</v>
      </c>
    </row>
    <row r="535" spans="1:9" x14ac:dyDescent="0.35">
      <c r="A535" t="s">
        <v>212</v>
      </c>
      <c r="B535">
        <v>7</v>
      </c>
      <c r="C535">
        <v>130</v>
      </c>
      <c r="D535">
        <v>115</v>
      </c>
      <c r="E535">
        <v>7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35">
      <c r="A536" t="s">
        <v>212</v>
      </c>
      <c r="B536">
        <v>3</v>
      </c>
      <c r="C536">
        <v>26</v>
      </c>
      <c r="D536">
        <v>33</v>
      </c>
      <c r="E536">
        <v>5</v>
      </c>
      <c r="F536">
        <v>2</v>
      </c>
      <c r="G536" t="b">
        <v>1</v>
      </c>
      <c r="H536" t="b">
        <v>1</v>
      </c>
      <c r="I536" t="b">
        <v>1</v>
      </c>
    </row>
    <row r="537" spans="1:9" x14ac:dyDescent="0.35">
      <c r="A537" t="s">
        <v>213</v>
      </c>
      <c r="B537">
        <v>2</v>
      </c>
      <c r="C537">
        <v>21</v>
      </c>
      <c r="D537">
        <v>27</v>
      </c>
      <c r="E537">
        <v>8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35">
      <c r="A538" t="s">
        <v>212</v>
      </c>
      <c r="B538">
        <v>3</v>
      </c>
      <c r="C538">
        <v>26</v>
      </c>
      <c r="D538">
        <v>33</v>
      </c>
      <c r="E538">
        <v>5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35">
      <c r="A539" t="s">
        <v>213</v>
      </c>
      <c r="B539">
        <v>2</v>
      </c>
      <c r="C539">
        <v>2</v>
      </c>
      <c r="D539">
        <v>3</v>
      </c>
      <c r="E539">
        <v>7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35">
      <c r="A540" t="s">
        <v>164</v>
      </c>
      <c r="B540">
        <v>1</v>
      </c>
      <c r="C540">
        <v>17</v>
      </c>
      <c r="D540">
        <v>13</v>
      </c>
      <c r="E540">
        <v>1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35">
      <c r="A541" t="s">
        <v>212</v>
      </c>
      <c r="B541">
        <v>3</v>
      </c>
      <c r="C541">
        <v>25</v>
      </c>
      <c r="D541">
        <v>32</v>
      </c>
      <c r="E541">
        <v>5</v>
      </c>
      <c r="F541">
        <v>2</v>
      </c>
      <c r="G541" t="b">
        <v>1</v>
      </c>
      <c r="H541" t="b">
        <v>1</v>
      </c>
      <c r="I541" t="b">
        <v>1</v>
      </c>
    </row>
    <row r="542" spans="1:9" x14ac:dyDescent="0.35">
      <c r="A542" t="s">
        <v>164</v>
      </c>
      <c r="B542">
        <v>1</v>
      </c>
      <c r="C542">
        <v>13</v>
      </c>
      <c r="D542">
        <v>11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35">
      <c r="A543" t="s">
        <v>214</v>
      </c>
      <c r="B543">
        <v>1</v>
      </c>
      <c r="C543">
        <v>1</v>
      </c>
      <c r="D543">
        <v>1</v>
      </c>
      <c r="E543">
        <v>2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35">
      <c r="A544" t="s">
        <v>212</v>
      </c>
      <c r="B544">
        <v>3</v>
      </c>
      <c r="C544">
        <v>26</v>
      </c>
      <c r="D544">
        <v>33</v>
      </c>
      <c r="E544">
        <v>5</v>
      </c>
      <c r="F544">
        <v>100021</v>
      </c>
      <c r="G544" t="b">
        <v>1</v>
      </c>
      <c r="H544" t="b">
        <v>1</v>
      </c>
      <c r="I544" t="b">
        <v>1</v>
      </c>
    </row>
    <row r="545" spans="1:9" x14ac:dyDescent="0.35">
      <c r="A545" t="s">
        <v>164</v>
      </c>
      <c r="B545">
        <v>1</v>
      </c>
      <c r="C545">
        <v>13</v>
      </c>
      <c r="D545">
        <v>11</v>
      </c>
      <c r="E545">
        <v>1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35">
      <c r="A546" t="s">
        <v>214</v>
      </c>
      <c r="B546">
        <v>1</v>
      </c>
      <c r="C546">
        <v>1</v>
      </c>
      <c r="D546">
        <v>1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964BE-6AA4-4B32-B4A3-8B932381898B}">
  <dimension ref="A1:V568"/>
  <sheetViews>
    <sheetView workbookViewId="0">
      <selection sqref="A1:I569"/>
    </sheetView>
  </sheetViews>
  <sheetFormatPr defaultRowHeight="14.5" x14ac:dyDescent="0.35"/>
  <sheetData>
    <row r="1" spans="1:22" x14ac:dyDescent="0.35">
      <c r="A1" t="s">
        <v>24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25</v>
      </c>
      <c r="L1" t="s">
        <v>26</v>
      </c>
      <c r="M1" t="s">
        <v>27</v>
      </c>
      <c r="N1" t="s">
        <v>25</v>
      </c>
      <c r="O1" t="s">
        <v>26</v>
      </c>
      <c r="P1" t="s">
        <v>27</v>
      </c>
      <c r="Q1" t="s">
        <v>25</v>
      </c>
      <c r="R1" t="s">
        <v>26</v>
      </c>
      <c r="S1" t="s">
        <v>27</v>
      </c>
      <c r="T1" t="s">
        <v>25</v>
      </c>
      <c r="U1" t="s">
        <v>26</v>
      </c>
      <c r="V1" t="s">
        <v>27</v>
      </c>
    </row>
    <row r="2" spans="1:22" x14ac:dyDescent="0.35">
      <c r="A2" t="s">
        <v>28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392</v>
      </c>
      <c r="L2">
        <f>COUNTIF(B1:B1000,"&lt;=5")</f>
        <v>539</v>
      </c>
      <c r="M2">
        <f>COUNTIF(B1:B1000,"&lt;=10")</f>
        <v>562</v>
      </c>
      <c r="N2">
        <f>COUNTIF(C1:C1000,"=1")</f>
        <v>78</v>
      </c>
      <c r="O2">
        <f>COUNTIF(C1:C1000,"&lt;=5")</f>
        <v>199</v>
      </c>
      <c r="P2">
        <f>COUNTIF(C1:C1000,"&lt;=10")</f>
        <v>273</v>
      </c>
      <c r="Q2">
        <f>COUNTIF(D1:D1000,"=1")</f>
        <v>116</v>
      </c>
      <c r="R2">
        <f>COUNTIF(D1:D1000,"&lt;=5")</f>
        <v>200</v>
      </c>
      <c r="S2">
        <f>COUNTIF(D1:D1000,"&lt;=10")</f>
        <v>277</v>
      </c>
      <c r="T2">
        <f>COUNTIF(E1:E1000,"=1")</f>
        <v>132</v>
      </c>
      <c r="U2">
        <f>COUNTIF(E1:E1000,"&lt;=5")</f>
        <v>304</v>
      </c>
      <c r="V2">
        <f>COUNTIF(E1:E1000,"&lt;=10")</f>
        <v>468</v>
      </c>
    </row>
    <row r="3" spans="1:22" x14ac:dyDescent="0.35">
      <c r="A3" t="s">
        <v>29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2" x14ac:dyDescent="0.35">
      <c r="A4" t="s">
        <v>30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2" x14ac:dyDescent="0.35">
      <c r="A5" t="s">
        <v>28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2" x14ac:dyDescent="0.35">
      <c r="A6" t="s">
        <v>29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2" x14ac:dyDescent="0.35">
      <c r="A7" t="s">
        <v>30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2" x14ac:dyDescent="0.35">
      <c r="A8" t="s">
        <v>24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2" x14ac:dyDescent="0.35">
      <c r="A9" t="s">
        <v>30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2" x14ac:dyDescent="0.35">
      <c r="A10" t="s">
        <v>32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2" x14ac:dyDescent="0.35">
      <c r="A11" t="s">
        <v>36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2" x14ac:dyDescent="0.35">
      <c r="A12" t="s">
        <v>34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2" x14ac:dyDescent="0.35">
      <c r="A13" t="s">
        <v>37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2" x14ac:dyDescent="0.35">
      <c r="A14" t="s">
        <v>31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2" x14ac:dyDescent="0.35">
      <c r="A15" t="s">
        <v>33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2" x14ac:dyDescent="0.35">
      <c r="A16" t="s">
        <v>35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35">
      <c r="A17" t="s">
        <v>35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35">
      <c r="A18" t="s">
        <v>39</v>
      </c>
      <c r="B18">
        <v>1</v>
      </c>
      <c r="C18">
        <v>21</v>
      </c>
      <c r="D18">
        <v>33</v>
      </c>
      <c r="E18">
        <v>1</v>
      </c>
      <c r="F18">
        <v>1</v>
      </c>
      <c r="G18" t="b">
        <v>0</v>
      </c>
      <c r="H18" t="b">
        <v>0</v>
      </c>
      <c r="I18" t="b">
        <v>1</v>
      </c>
    </row>
    <row r="19" spans="1:9" x14ac:dyDescent="0.35">
      <c r="A19" t="s">
        <v>40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35">
      <c r="A20" t="s">
        <v>39</v>
      </c>
      <c r="B20">
        <v>1</v>
      </c>
      <c r="C20">
        <v>21</v>
      </c>
      <c r="D20">
        <v>33</v>
      </c>
      <c r="E20">
        <v>1</v>
      </c>
      <c r="F20">
        <v>1</v>
      </c>
      <c r="G20" t="b">
        <v>0</v>
      </c>
      <c r="H20" t="b">
        <v>0</v>
      </c>
      <c r="I20" t="b">
        <v>1</v>
      </c>
    </row>
    <row r="21" spans="1:9" x14ac:dyDescent="0.35">
      <c r="A21" t="s">
        <v>40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35">
      <c r="A22" t="s">
        <v>39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35">
      <c r="A23" t="s">
        <v>129</v>
      </c>
      <c r="B23">
        <v>1</v>
      </c>
      <c r="C23">
        <v>172</v>
      </c>
      <c r="D23">
        <v>80</v>
      </c>
      <c r="E23">
        <v>3</v>
      </c>
      <c r="F23">
        <v>1</v>
      </c>
      <c r="G23" t="b">
        <v>0</v>
      </c>
      <c r="H23" t="b">
        <v>0</v>
      </c>
      <c r="I23" t="b">
        <v>1</v>
      </c>
    </row>
    <row r="24" spans="1:9" x14ac:dyDescent="0.35">
      <c r="A24" t="s">
        <v>39</v>
      </c>
      <c r="B24">
        <v>1</v>
      </c>
      <c r="C24">
        <v>21</v>
      </c>
      <c r="D24">
        <v>33</v>
      </c>
      <c r="E24">
        <v>1</v>
      </c>
      <c r="F24">
        <v>1</v>
      </c>
      <c r="G24" t="b">
        <v>0</v>
      </c>
      <c r="H24" t="b">
        <v>0</v>
      </c>
      <c r="I24" t="b">
        <v>1</v>
      </c>
    </row>
    <row r="25" spans="1:9" x14ac:dyDescent="0.35">
      <c r="A25" t="s">
        <v>39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35">
      <c r="A26" t="s">
        <v>39</v>
      </c>
      <c r="B26">
        <v>1</v>
      </c>
      <c r="C26">
        <v>21</v>
      </c>
      <c r="D26">
        <v>33</v>
      </c>
      <c r="E26">
        <v>1</v>
      </c>
      <c r="F26">
        <v>1</v>
      </c>
      <c r="G26" t="b">
        <v>0</v>
      </c>
      <c r="H26" t="b">
        <v>0</v>
      </c>
      <c r="I26" t="b">
        <v>1</v>
      </c>
    </row>
    <row r="27" spans="1:9" x14ac:dyDescent="0.35">
      <c r="A27" t="s">
        <v>45</v>
      </c>
      <c r="B27">
        <v>1</v>
      </c>
      <c r="C27">
        <v>13</v>
      </c>
      <c r="D27">
        <v>11</v>
      </c>
      <c r="E27">
        <v>1</v>
      </c>
      <c r="F27">
        <v>1</v>
      </c>
      <c r="G27" t="b">
        <v>0</v>
      </c>
      <c r="H27" t="b">
        <v>0</v>
      </c>
      <c r="I27" t="b">
        <v>1</v>
      </c>
    </row>
    <row r="28" spans="1:9" x14ac:dyDescent="0.35">
      <c r="A28" t="s">
        <v>46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35">
      <c r="A29" t="s">
        <v>272</v>
      </c>
      <c r="B29">
        <v>1</v>
      </c>
      <c r="C29">
        <v>14</v>
      </c>
      <c r="D29">
        <v>56</v>
      </c>
      <c r="E29">
        <v>6</v>
      </c>
      <c r="F29">
        <v>1</v>
      </c>
      <c r="G29" t="b">
        <v>0</v>
      </c>
      <c r="H29" t="b">
        <v>0</v>
      </c>
      <c r="I29" t="b">
        <v>1</v>
      </c>
    </row>
    <row r="30" spans="1:9" x14ac:dyDescent="0.35">
      <c r="A30" t="s">
        <v>45</v>
      </c>
      <c r="B30">
        <v>1</v>
      </c>
      <c r="C30">
        <v>13</v>
      </c>
      <c r="D30">
        <v>11</v>
      </c>
      <c r="E30">
        <v>1</v>
      </c>
      <c r="F30">
        <v>1</v>
      </c>
      <c r="G30" t="b">
        <v>0</v>
      </c>
      <c r="H30" t="b">
        <v>0</v>
      </c>
      <c r="I30" t="b">
        <v>1</v>
      </c>
    </row>
    <row r="31" spans="1:9" x14ac:dyDescent="0.35">
      <c r="A31" t="s">
        <v>44</v>
      </c>
      <c r="B31">
        <v>1</v>
      </c>
      <c r="C31">
        <v>1</v>
      </c>
      <c r="D31">
        <v>1</v>
      </c>
      <c r="E31">
        <v>4</v>
      </c>
      <c r="F31">
        <v>1</v>
      </c>
      <c r="G31" t="b">
        <v>1</v>
      </c>
      <c r="H31" t="b">
        <v>1</v>
      </c>
      <c r="I31" t="b">
        <v>1</v>
      </c>
    </row>
    <row r="32" spans="1:9" x14ac:dyDescent="0.35">
      <c r="A32" t="s">
        <v>45</v>
      </c>
      <c r="B32">
        <v>1</v>
      </c>
      <c r="C32">
        <v>9</v>
      </c>
      <c r="D32">
        <v>9</v>
      </c>
      <c r="E32">
        <v>1</v>
      </c>
      <c r="F32">
        <v>1</v>
      </c>
      <c r="G32" t="b">
        <v>1</v>
      </c>
      <c r="H32" t="b">
        <v>1</v>
      </c>
      <c r="I32" t="b">
        <v>1</v>
      </c>
    </row>
    <row r="33" spans="1:9" x14ac:dyDescent="0.35">
      <c r="A33" t="s">
        <v>47</v>
      </c>
      <c r="B33">
        <v>2</v>
      </c>
      <c r="C33">
        <v>2</v>
      </c>
      <c r="D33">
        <v>2</v>
      </c>
      <c r="E33">
        <v>5</v>
      </c>
      <c r="F33">
        <v>1</v>
      </c>
      <c r="G33" t="b">
        <v>1</v>
      </c>
      <c r="H33" t="b">
        <v>1</v>
      </c>
      <c r="I33" t="b">
        <v>1</v>
      </c>
    </row>
    <row r="34" spans="1:9" x14ac:dyDescent="0.35">
      <c r="A34" t="s">
        <v>35</v>
      </c>
      <c r="B34">
        <v>3</v>
      </c>
      <c r="C34">
        <v>3</v>
      </c>
      <c r="D34">
        <v>4</v>
      </c>
      <c r="E34">
        <v>6</v>
      </c>
      <c r="F34">
        <v>2</v>
      </c>
      <c r="G34" t="b">
        <v>1</v>
      </c>
      <c r="H34" t="b">
        <v>1</v>
      </c>
      <c r="I34" t="b">
        <v>1</v>
      </c>
    </row>
    <row r="35" spans="1:9" x14ac:dyDescent="0.35">
      <c r="A35" t="s">
        <v>35</v>
      </c>
      <c r="B35">
        <v>3</v>
      </c>
      <c r="C35">
        <v>3</v>
      </c>
      <c r="D35">
        <v>4</v>
      </c>
      <c r="E35">
        <v>6</v>
      </c>
      <c r="F35">
        <v>2</v>
      </c>
      <c r="G35" t="b">
        <v>1</v>
      </c>
      <c r="H35" t="b">
        <v>1</v>
      </c>
      <c r="I35" t="b">
        <v>1</v>
      </c>
    </row>
    <row r="36" spans="1:9" x14ac:dyDescent="0.35">
      <c r="A36" t="s">
        <v>44</v>
      </c>
      <c r="B36">
        <v>1</v>
      </c>
      <c r="C36">
        <v>17</v>
      </c>
      <c r="D36">
        <v>24</v>
      </c>
      <c r="E36">
        <v>4</v>
      </c>
      <c r="F36">
        <v>2</v>
      </c>
      <c r="G36" t="b">
        <v>0</v>
      </c>
      <c r="H36" t="b">
        <v>0</v>
      </c>
      <c r="I36" t="b">
        <v>1</v>
      </c>
    </row>
    <row r="37" spans="1:9" x14ac:dyDescent="0.35">
      <c r="A37" t="s">
        <v>44</v>
      </c>
      <c r="B37">
        <v>1</v>
      </c>
      <c r="C37">
        <v>17</v>
      </c>
      <c r="D37">
        <v>24</v>
      </c>
      <c r="E37">
        <v>4</v>
      </c>
      <c r="F37">
        <v>2</v>
      </c>
      <c r="G37" t="b">
        <v>0</v>
      </c>
      <c r="H37" t="b">
        <v>0</v>
      </c>
      <c r="I37" t="b">
        <v>1</v>
      </c>
    </row>
    <row r="38" spans="1:9" x14ac:dyDescent="0.35">
      <c r="A38" t="s">
        <v>44</v>
      </c>
      <c r="B38">
        <v>1</v>
      </c>
      <c r="C38">
        <v>17</v>
      </c>
      <c r="D38">
        <v>24</v>
      </c>
      <c r="E38">
        <v>4</v>
      </c>
      <c r="F38">
        <v>1</v>
      </c>
      <c r="G38" t="b">
        <v>0</v>
      </c>
      <c r="H38" t="b">
        <v>0</v>
      </c>
      <c r="I38" t="b">
        <v>1</v>
      </c>
    </row>
    <row r="39" spans="1:9" x14ac:dyDescent="0.35">
      <c r="A39" t="s">
        <v>53</v>
      </c>
      <c r="B39">
        <v>1</v>
      </c>
      <c r="C39">
        <v>15</v>
      </c>
      <c r="D39">
        <v>7</v>
      </c>
      <c r="E39">
        <v>3</v>
      </c>
      <c r="F39">
        <v>1</v>
      </c>
      <c r="G39" t="b">
        <v>1</v>
      </c>
      <c r="H39" t="b">
        <v>1</v>
      </c>
      <c r="I39" t="b">
        <v>1</v>
      </c>
    </row>
    <row r="40" spans="1:9" x14ac:dyDescent="0.35">
      <c r="A40" t="s">
        <v>53</v>
      </c>
      <c r="B40">
        <v>1</v>
      </c>
      <c r="C40">
        <v>19</v>
      </c>
      <c r="D40">
        <v>8</v>
      </c>
      <c r="E40">
        <v>3</v>
      </c>
      <c r="F40">
        <v>1</v>
      </c>
      <c r="G40" t="b">
        <v>1</v>
      </c>
      <c r="H40" t="b">
        <v>1</v>
      </c>
      <c r="I40" t="b">
        <v>1</v>
      </c>
    </row>
    <row r="41" spans="1:9" x14ac:dyDescent="0.35">
      <c r="A41" t="s">
        <v>324</v>
      </c>
      <c r="B41">
        <v>1</v>
      </c>
      <c r="C41">
        <v>8</v>
      </c>
      <c r="D41">
        <v>106</v>
      </c>
      <c r="E41">
        <v>5</v>
      </c>
      <c r="F41">
        <v>1</v>
      </c>
      <c r="G41" t="b">
        <v>0</v>
      </c>
      <c r="H41" t="b">
        <v>0</v>
      </c>
      <c r="I41" t="b">
        <v>1</v>
      </c>
    </row>
    <row r="42" spans="1:9" x14ac:dyDescent="0.35">
      <c r="A42" t="s">
        <v>52</v>
      </c>
      <c r="B42">
        <v>1</v>
      </c>
      <c r="C42">
        <v>1</v>
      </c>
      <c r="D42">
        <v>7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35">
      <c r="A43" t="s">
        <v>53</v>
      </c>
      <c r="B43">
        <v>1</v>
      </c>
      <c r="C43">
        <v>19</v>
      </c>
      <c r="D43">
        <v>8</v>
      </c>
      <c r="E43">
        <v>3</v>
      </c>
      <c r="F43">
        <v>1</v>
      </c>
      <c r="G43" t="b">
        <v>1</v>
      </c>
      <c r="H43" t="b">
        <v>1</v>
      </c>
      <c r="I43" t="b">
        <v>1</v>
      </c>
    </row>
    <row r="44" spans="1:9" x14ac:dyDescent="0.35">
      <c r="A44" t="s">
        <v>324</v>
      </c>
      <c r="B44">
        <v>1</v>
      </c>
      <c r="C44">
        <v>8</v>
      </c>
      <c r="D44">
        <v>106</v>
      </c>
      <c r="E44">
        <v>5</v>
      </c>
      <c r="F44">
        <v>1</v>
      </c>
      <c r="G44" t="b">
        <v>0</v>
      </c>
      <c r="H44" t="b">
        <v>0</v>
      </c>
      <c r="I44" t="b">
        <v>1</v>
      </c>
    </row>
    <row r="45" spans="1:9" x14ac:dyDescent="0.35">
      <c r="A45" t="s">
        <v>52</v>
      </c>
      <c r="B45">
        <v>1</v>
      </c>
      <c r="C45">
        <v>1</v>
      </c>
      <c r="D45">
        <v>7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35">
      <c r="A46" t="s">
        <v>56</v>
      </c>
      <c r="B46">
        <v>1</v>
      </c>
      <c r="C46">
        <v>25</v>
      </c>
      <c r="D46">
        <v>8</v>
      </c>
      <c r="E46">
        <v>6</v>
      </c>
      <c r="F46">
        <v>1</v>
      </c>
      <c r="G46" t="b">
        <v>1</v>
      </c>
      <c r="H46" t="b">
        <v>1</v>
      </c>
      <c r="I46" t="b">
        <v>1</v>
      </c>
    </row>
    <row r="47" spans="1:9" x14ac:dyDescent="0.35">
      <c r="A47" t="s">
        <v>56</v>
      </c>
      <c r="B47">
        <v>1</v>
      </c>
      <c r="C47">
        <v>5</v>
      </c>
      <c r="D47">
        <v>1</v>
      </c>
      <c r="E47">
        <v>6</v>
      </c>
      <c r="F47">
        <v>1</v>
      </c>
      <c r="G47" t="b">
        <v>1</v>
      </c>
      <c r="H47" t="b">
        <v>1</v>
      </c>
      <c r="I47" t="b">
        <v>1</v>
      </c>
    </row>
    <row r="48" spans="1:9" x14ac:dyDescent="0.35">
      <c r="A48" t="s">
        <v>324</v>
      </c>
      <c r="B48">
        <v>1</v>
      </c>
      <c r="C48">
        <v>8</v>
      </c>
      <c r="D48">
        <v>106</v>
      </c>
      <c r="E48">
        <v>5</v>
      </c>
      <c r="F48">
        <v>1</v>
      </c>
      <c r="G48" t="b">
        <v>0</v>
      </c>
      <c r="H48" t="b">
        <v>0</v>
      </c>
      <c r="I48" t="b">
        <v>1</v>
      </c>
    </row>
    <row r="49" spans="1:9" x14ac:dyDescent="0.35">
      <c r="A49" t="s">
        <v>52</v>
      </c>
      <c r="B49">
        <v>1</v>
      </c>
      <c r="C49">
        <v>1</v>
      </c>
      <c r="D49">
        <v>7</v>
      </c>
      <c r="E49">
        <v>1</v>
      </c>
      <c r="F49">
        <v>1</v>
      </c>
      <c r="G49" t="b">
        <v>1</v>
      </c>
      <c r="H49" t="b">
        <v>1</v>
      </c>
      <c r="I49" t="b">
        <v>1</v>
      </c>
    </row>
    <row r="50" spans="1:9" x14ac:dyDescent="0.35">
      <c r="A50" t="s">
        <v>53</v>
      </c>
      <c r="B50">
        <v>1</v>
      </c>
      <c r="C50">
        <v>19</v>
      </c>
      <c r="D50">
        <v>8</v>
      </c>
      <c r="E50">
        <v>3</v>
      </c>
      <c r="F50">
        <v>1</v>
      </c>
      <c r="G50" t="b">
        <v>0</v>
      </c>
      <c r="H50" t="b">
        <v>0</v>
      </c>
      <c r="I50" t="b">
        <v>1</v>
      </c>
    </row>
    <row r="51" spans="1:9" x14ac:dyDescent="0.35">
      <c r="A51" t="s">
        <v>56</v>
      </c>
      <c r="B51">
        <v>1</v>
      </c>
      <c r="C51">
        <v>6</v>
      </c>
      <c r="D51">
        <v>1</v>
      </c>
      <c r="E51">
        <v>6</v>
      </c>
      <c r="F51">
        <v>2</v>
      </c>
      <c r="G51" t="b">
        <v>1</v>
      </c>
      <c r="H51" t="b">
        <v>1</v>
      </c>
      <c r="I51" t="b">
        <v>1</v>
      </c>
    </row>
    <row r="52" spans="1:9" x14ac:dyDescent="0.35">
      <c r="A52" t="s">
        <v>48</v>
      </c>
      <c r="B52">
        <v>1</v>
      </c>
      <c r="C52">
        <v>16</v>
      </c>
      <c r="D52">
        <v>17</v>
      </c>
      <c r="E52">
        <v>19</v>
      </c>
      <c r="F52">
        <v>1</v>
      </c>
      <c r="G52" t="b">
        <v>0</v>
      </c>
      <c r="H52" t="b">
        <v>0</v>
      </c>
      <c r="I52" t="b">
        <v>1</v>
      </c>
    </row>
    <row r="53" spans="1:9" x14ac:dyDescent="0.35">
      <c r="A53" t="s">
        <v>44</v>
      </c>
      <c r="B53">
        <v>1</v>
      </c>
      <c r="C53">
        <v>1</v>
      </c>
      <c r="D53">
        <v>1</v>
      </c>
      <c r="E53">
        <v>4</v>
      </c>
      <c r="F53">
        <v>1</v>
      </c>
      <c r="G53" t="b">
        <v>0</v>
      </c>
      <c r="H53" t="b">
        <v>0</v>
      </c>
      <c r="I53" t="b">
        <v>1</v>
      </c>
    </row>
    <row r="54" spans="1:9" x14ac:dyDescent="0.35">
      <c r="A54" t="s">
        <v>273</v>
      </c>
      <c r="B54">
        <v>1</v>
      </c>
      <c r="C54">
        <v>31</v>
      </c>
      <c r="D54">
        <v>135</v>
      </c>
      <c r="E54">
        <v>13</v>
      </c>
      <c r="F54">
        <v>1</v>
      </c>
      <c r="G54" t="b">
        <v>0</v>
      </c>
      <c r="H54" t="b">
        <v>0</v>
      </c>
      <c r="I54" t="b">
        <v>1</v>
      </c>
    </row>
    <row r="55" spans="1:9" x14ac:dyDescent="0.35">
      <c r="A55" t="s">
        <v>55</v>
      </c>
      <c r="B55">
        <v>14</v>
      </c>
      <c r="C55">
        <v>68</v>
      </c>
      <c r="D55">
        <v>38</v>
      </c>
      <c r="E55">
        <v>22</v>
      </c>
      <c r="F55">
        <v>200021</v>
      </c>
      <c r="G55" t="b">
        <v>1</v>
      </c>
      <c r="H55" t="b">
        <v>1</v>
      </c>
      <c r="I55" t="b">
        <v>1</v>
      </c>
    </row>
    <row r="56" spans="1:9" x14ac:dyDescent="0.35">
      <c r="A56" t="s">
        <v>47</v>
      </c>
      <c r="B56">
        <v>1</v>
      </c>
      <c r="C56">
        <v>1</v>
      </c>
      <c r="D56">
        <v>1</v>
      </c>
      <c r="E56">
        <v>2</v>
      </c>
      <c r="F56">
        <v>3</v>
      </c>
      <c r="G56" t="b">
        <v>1</v>
      </c>
      <c r="H56" t="b">
        <v>1</v>
      </c>
      <c r="I56" t="b">
        <v>1</v>
      </c>
    </row>
    <row r="57" spans="1:9" x14ac:dyDescent="0.35">
      <c r="A57" t="s">
        <v>54</v>
      </c>
      <c r="B57">
        <v>2</v>
      </c>
      <c r="C57">
        <v>2</v>
      </c>
      <c r="D57">
        <v>10</v>
      </c>
      <c r="E57">
        <v>2</v>
      </c>
      <c r="F57">
        <v>1</v>
      </c>
      <c r="G57" t="b">
        <v>1</v>
      </c>
      <c r="H57" t="b">
        <v>1</v>
      </c>
      <c r="I57" t="b">
        <v>1</v>
      </c>
    </row>
    <row r="58" spans="1:9" x14ac:dyDescent="0.35">
      <c r="A58" t="s">
        <v>48</v>
      </c>
      <c r="B58">
        <v>6</v>
      </c>
      <c r="C58">
        <v>15</v>
      </c>
      <c r="D58">
        <v>16</v>
      </c>
      <c r="E58">
        <v>20</v>
      </c>
      <c r="F58">
        <v>3</v>
      </c>
      <c r="G58" t="b">
        <v>1</v>
      </c>
      <c r="H58" t="b">
        <v>1</v>
      </c>
      <c r="I58" t="b">
        <v>1</v>
      </c>
    </row>
    <row r="59" spans="1:9" x14ac:dyDescent="0.35">
      <c r="A59" t="s">
        <v>325</v>
      </c>
      <c r="B59">
        <v>1</v>
      </c>
      <c r="C59">
        <v>20</v>
      </c>
      <c r="D59">
        <v>118</v>
      </c>
      <c r="E59">
        <v>11</v>
      </c>
      <c r="F59">
        <v>1</v>
      </c>
      <c r="G59" t="b">
        <v>0</v>
      </c>
      <c r="H59" t="b">
        <v>0</v>
      </c>
      <c r="I59" t="b">
        <v>1</v>
      </c>
    </row>
    <row r="60" spans="1:9" x14ac:dyDescent="0.35">
      <c r="A60" t="s">
        <v>54</v>
      </c>
      <c r="B60">
        <v>1</v>
      </c>
      <c r="C60">
        <v>4</v>
      </c>
      <c r="D60">
        <v>44</v>
      </c>
      <c r="E60">
        <v>1</v>
      </c>
      <c r="F60">
        <v>1</v>
      </c>
      <c r="G60" t="b">
        <v>1</v>
      </c>
      <c r="H60" t="b">
        <v>1</v>
      </c>
      <c r="I60" t="b">
        <v>1</v>
      </c>
    </row>
    <row r="61" spans="1:9" x14ac:dyDescent="0.35">
      <c r="A61" t="s">
        <v>35</v>
      </c>
      <c r="B61">
        <v>3</v>
      </c>
      <c r="C61">
        <v>3</v>
      </c>
      <c r="D61">
        <v>4</v>
      </c>
      <c r="E61">
        <v>6</v>
      </c>
      <c r="F61">
        <v>1</v>
      </c>
      <c r="G61" t="b">
        <v>1</v>
      </c>
      <c r="H61" t="b">
        <v>1</v>
      </c>
      <c r="I61" t="b">
        <v>1</v>
      </c>
    </row>
    <row r="62" spans="1:9" x14ac:dyDescent="0.35">
      <c r="A62" t="s">
        <v>35</v>
      </c>
      <c r="B62">
        <v>3</v>
      </c>
      <c r="C62">
        <v>3</v>
      </c>
      <c r="D62">
        <v>4</v>
      </c>
      <c r="E62">
        <v>6</v>
      </c>
      <c r="F62">
        <v>2</v>
      </c>
      <c r="G62" t="b">
        <v>1</v>
      </c>
      <c r="H62" t="b">
        <v>1</v>
      </c>
      <c r="I62" t="b">
        <v>1</v>
      </c>
    </row>
    <row r="63" spans="1:9" x14ac:dyDescent="0.35">
      <c r="A63" t="s">
        <v>273</v>
      </c>
      <c r="B63">
        <v>1</v>
      </c>
      <c r="C63">
        <v>18</v>
      </c>
      <c r="D63">
        <v>122</v>
      </c>
      <c r="E63">
        <v>12</v>
      </c>
      <c r="F63">
        <v>1</v>
      </c>
      <c r="G63" t="b">
        <v>0</v>
      </c>
      <c r="H63" t="b">
        <v>0</v>
      </c>
      <c r="I63" t="b">
        <v>1</v>
      </c>
    </row>
    <row r="64" spans="1:9" x14ac:dyDescent="0.35">
      <c r="A64" t="s">
        <v>273</v>
      </c>
      <c r="B64">
        <v>1</v>
      </c>
      <c r="C64">
        <v>18</v>
      </c>
      <c r="D64">
        <v>122</v>
      </c>
      <c r="E64">
        <v>12</v>
      </c>
      <c r="F64">
        <v>1</v>
      </c>
      <c r="G64" t="b">
        <v>0</v>
      </c>
      <c r="H64" t="b">
        <v>0</v>
      </c>
      <c r="I64" t="b">
        <v>1</v>
      </c>
    </row>
    <row r="65" spans="1:9" x14ac:dyDescent="0.35">
      <c r="A65" t="s">
        <v>273</v>
      </c>
      <c r="B65">
        <v>1</v>
      </c>
      <c r="C65">
        <v>18</v>
      </c>
      <c r="D65">
        <v>122</v>
      </c>
      <c r="E65">
        <v>12</v>
      </c>
      <c r="F65">
        <v>1</v>
      </c>
      <c r="G65" t="b">
        <v>0</v>
      </c>
      <c r="H65" t="b">
        <v>0</v>
      </c>
      <c r="I65" t="b">
        <v>1</v>
      </c>
    </row>
    <row r="66" spans="1:9" x14ac:dyDescent="0.35">
      <c r="A66" t="s">
        <v>273</v>
      </c>
      <c r="B66">
        <v>1</v>
      </c>
      <c r="C66">
        <v>18</v>
      </c>
      <c r="D66">
        <v>122</v>
      </c>
      <c r="E66">
        <v>12</v>
      </c>
      <c r="F66">
        <v>1</v>
      </c>
      <c r="G66" t="b">
        <v>0</v>
      </c>
      <c r="H66" t="b">
        <v>0</v>
      </c>
      <c r="I66" t="b">
        <v>1</v>
      </c>
    </row>
    <row r="67" spans="1:9" x14ac:dyDescent="0.35">
      <c r="A67" t="s">
        <v>273</v>
      </c>
      <c r="B67">
        <v>1</v>
      </c>
      <c r="C67">
        <v>18</v>
      </c>
      <c r="D67">
        <v>122</v>
      </c>
      <c r="E67">
        <v>12</v>
      </c>
      <c r="F67">
        <v>1</v>
      </c>
      <c r="G67" t="b">
        <v>0</v>
      </c>
      <c r="H67" t="b">
        <v>0</v>
      </c>
      <c r="I67" t="b">
        <v>1</v>
      </c>
    </row>
    <row r="68" spans="1:9" x14ac:dyDescent="0.35">
      <c r="A68" t="s">
        <v>273</v>
      </c>
      <c r="B68">
        <v>1</v>
      </c>
      <c r="C68">
        <v>18</v>
      </c>
      <c r="D68">
        <v>122</v>
      </c>
      <c r="E68">
        <v>12</v>
      </c>
      <c r="F68">
        <v>1</v>
      </c>
      <c r="G68" t="b">
        <v>0</v>
      </c>
      <c r="H68" t="b">
        <v>0</v>
      </c>
      <c r="I68" t="b">
        <v>1</v>
      </c>
    </row>
    <row r="69" spans="1:9" x14ac:dyDescent="0.35">
      <c r="A69" t="s">
        <v>53</v>
      </c>
      <c r="B69">
        <v>1</v>
      </c>
      <c r="C69">
        <v>15</v>
      </c>
      <c r="D69">
        <v>7</v>
      </c>
      <c r="E69">
        <v>3</v>
      </c>
      <c r="F69">
        <v>1</v>
      </c>
      <c r="G69" t="b">
        <v>1</v>
      </c>
      <c r="H69" t="b">
        <v>1</v>
      </c>
      <c r="I69" t="b">
        <v>1</v>
      </c>
    </row>
    <row r="70" spans="1:9" x14ac:dyDescent="0.35">
      <c r="A70" t="s">
        <v>52</v>
      </c>
      <c r="B70">
        <v>1</v>
      </c>
      <c r="C70">
        <v>1</v>
      </c>
      <c r="D70">
        <v>8</v>
      </c>
      <c r="E70">
        <v>1</v>
      </c>
      <c r="F70">
        <v>1</v>
      </c>
      <c r="G70" t="b">
        <v>1</v>
      </c>
      <c r="H70" t="b">
        <v>1</v>
      </c>
      <c r="I70" t="b">
        <v>1</v>
      </c>
    </row>
    <row r="71" spans="1:9" x14ac:dyDescent="0.35">
      <c r="A71" t="s">
        <v>53</v>
      </c>
      <c r="B71">
        <v>1</v>
      </c>
      <c r="C71">
        <v>7</v>
      </c>
      <c r="D71">
        <v>5</v>
      </c>
      <c r="E71">
        <v>10</v>
      </c>
      <c r="F71">
        <v>3</v>
      </c>
      <c r="G71" t="b">
        <v>1</v>
      </c>
      <c r="H71" t="b">
        <v>1</v>
      </c>
      <c r="I71" t="b">
        <v>1</v>
      </c>
    </row>
    <row r="72" spans="1:9" x14ac:dyDescent="0.35">
      <c r="A72" t="s">
        <v>324</v>
      </c>
      <c r="B72">
        <v>1</v>
      </c>
      <c r="C72">
        <v>8</v>
      </c>
      <c r="D72">
        <v>106</v>
      </c>
      <c r="E72">
        <v>5</v>
      </c>
      <c r="F72">
        <v>1</v>
      </c>
      <c r="G72" t="b">
        <v>0</v>
      </c>
      <c r="H72" t="b">
        <v>0</v>
      </c>
      <c r="I72" t="b">
        <v>1</v>
      </c>
    </row>
    <row r="73" spans="1:9" x14ac:dyDescent="0.35">
      <c r="A73" t="s">
        <v>52</v>
      </c>
      <c r="B73">
        <v>1</v>
      </c>
      <c r="C73">
        <v>1</v>
      </c>
      <c r="D73">
        <v>7</v>
      </c>
      <c r="E73">
        <v>1</v>
      </c>
      <c r="F73">
        <v>1</v>
      </c>
      <c r="G73" t="b">
        <v>1</v>
      </c>
      <c r="H73" t="b">
        <v>1</v>
      </c>
      <c r="I73" t="b">
        <v>1</v>
      </c>
    </row>
    <row r="74" spans="1:9" x14ac:dyDescent="0.35">
      <c r="A74" t="s">
        <v>61</v>
      </c>
      <c r="B74">
        <v>1</v>
      </c>
      <c r="C74">
        <v>1</v>
      </c>
      <c r="D74">
        <v>8</v>
      </c>
      <c r="E74">
        <v>2</v>
      </c>
      <c r="F74">
        <v>1</v>
      </c>
      <c r="G74" t="b">
        <v>1</v>
      </c>
      <c r="H74" t="b">
        <v>1</v>
      </c>
      <c r="I74" t="b">
        <v>1</v>
      </c>
    </row>
    <row r="75" spans="1:9" x14ac:dyDescent="0.35">
      <c r="A75" t="s">
        <v>53</v>
      </c>
      <c r="B75">
        <v>1</v>
      </c>
      <c r="C75">
        <v>8</v>
      </c>
      <c r="D75">
        <v>5</v>
      </c>
      <c r="E75">
        <v>11</v>
      </c>
      <c r="F75">
        <v>3</v>
      </c>
      <c r="G75" t="b">
        <v>1</v>
      </c>
      <c r="H75" t="b">
        <v>1</v>
      </c>
      <c r="I75" t="b">
        <v>1</v>
      </c>
    </row>
    <row r="76" spans="1:9" x14ac:dyDescent="0.35">
      <c r="A76" t="s">
        <v>62</v>
      </c>
      <c r="B76">
        <v>2</v>
      </c>
      <c r="C76">
        <v>2</v>
      </c>
      <c r="D76">
        <v>9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35">
      <c r="A77" t="s">
        <v>53</v>
      </c>
      <c r="B77">
        <v>6</v>
      </c>
      <c r="C77">
        <v>15</v>
      </c>
      <c r="D77">
        <v>11</v>
      </c>
      <c r="E77">
        <v>13</v>
      </c>
      <c r="F77">
        <v>3</v>
      </c>
      <c r="G77" t="b">
        <v>1</v>
      </c>
      <c r="H77" t="b">
        <v>1</v>
      </c>
      <c r="I77" t="b">
        <v>1</v>
      </c>
    </row>
    <row r="78" spans="1:9" x14ac:dyDescent="0.35">
      <c r="A78" t="s">
        <v>324</v>
      </c>
      <c r="B78">
        <v>1</v>
      </c>
      <c r="C78">
        <v>8</v>
      </c>
      <c r="D78">
        <v>106</v>
      </c>
      <c r="E78">
        <v>5</v>
      </c>
      <c r="F78">
        <v>1</v>
      </c>
      <c r="G78" t="b">
        <v>0</v>
      </c>
      <c r="H78" t="b">
        <v>0</v>
      </c>
      <c r="I78" t="b">
        <v>1</v>
      </c>
    </row>
    <row r="79" spans="1:9" x14ac:dyDescent="0.35">
      <c r="A79" t="s">
        <v>52</v>
      </c>
      <c r="B79">
        <v>1</v>
      </c>
      <c r="C79">
        <v>1</v>
      </c>
      <c r="D79">
        <v>7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35">
      <c r="A80" t="s">
        <v>56</v>
      </c>
      <c r="B80">
        <v>1</v>
      </c>
      <c r="C80">
        <v>3</v>
      </c>
      <c r="D80">
        <v>3</v>
      </c>
      <c r="E80">
        <v>3</v>
      </c>
      <c r="F80">
        <v>3</v>
      </c>
      <c r="G80" t="b">
        <v>1</v>
      </c>
      <c r="H80" t="b">
        <v>1</v>
      </c>
      <c r="I80" t="b">
        <v>1</v>
      </c>
    </row>
    <row r="81" spans="1:9" x14ac:dyDescent="0.35">
      <c r="A81" t="s">
        <v>56</v>
      </c>
      <c r="B81">
        <v>1</v>
      </c>
      <c r="C81">
        <v>5</v>
      </c>
      <c r="D81">
        <v>1</v>
      </c>
      <c r="E81">
        <v>6</v>
      </c>
      <c r="F81">
        <v>1</v>
      </c>
      <c r="G81" t="b">
        <v>1</v>
      </c>
      <c r="H81" t="b">
        <v>1</v>
      </c>
      <c r="I81" t="b">
        <v>1</v>
      </c>
    </row>
    <row r="82" spans="1:9" x14ac:dyDescent="0.35">
      <c r="A82" t="s">
        <v>324</v>
      </c>
      <c r="B82">
        <v>1</v>
      </c>
      <c r="C82">
        <v>8</v>
      </c>
      <c r="D82">
        <v>106</v>
      </c>
      <c r="E82">
        <v>5</v>
      </c>
      <c r="F82">
        <v>1</v>
      </c>
      <c r="G82" t="b">
        <v>0</v>
      </c>
      <c r="H82" t="b">
        <v>0</v>
      </c>
      <c r="I82" t="b">
        <v>1</v>
      </c>
    </row>
    <row r="83" spans="1:9" x14ac:dyDescent="0.35">
      <c r="A83" t="s">
        <v>52</v>
      </c>
      <c r="B83">
        <v>1</v>
      </c>
      <c r="C83">
        <v>1</v>
      </c>
      <c r="D83">
        <v>7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35">
      <c r="A84" t="s">
        <v>53</v>
      </c>
      <c r="B84">
        <v>1</v>
      </c>
      <c r="C84">
        <v>19</v>
      </c>
      <c r="D84">
        <v>8</v>
      </c>
      <c r="E84">
        <v>3</v>
      </c>
      <c r="F84">
        <v>1</v>
      </c>
      <c r="G84" t="b">
        <v>0</v>
      </c>
      <c r="H84" t="b">
        <v>0</v>
      </c>
      <c r="I84" t="b">
        <v>1</v>
      </c>
    </row>
    <row r="85" spans="1:9" x14ac:dyDescent="0.35">
      <c r="A85" t="s">
        <v>56</v>
      </c>
      <c r="B85">
        <v>1</v>
      </c>
      <c r="C85">
        <v>6</v>
      </c>
      <c r="D85">
        <v>1</v>
      </c>
      <c r="E85">
        <v>6</v>
      </c>
      <c r="F85">
        <v>2</v>
      </c>
      <c r="G85" t="b">
        <v>1</v>
      </c>
      <c r="H85" t="b">
        <v>1</v>
      </c>
      <c r="I85" t="b">
        <v>1</v>
      </c>
    </row>
    <row r="86" spans="1:9" x14ac:dyDescent="0.35">
      <c r="A86" t="s">
        <v>48</v>
      </c>
      <c r="B86">
        <v>1</v>
      </c>
      <c r="C86">
        <v>11</v>
      </c>
      <c r="D86">
        <v>12</v>
      </c>
      <c r="E86">
        <v>14</v>
      </c>
      <c r="F86">
        <v>1</v>
      </c>
      <c r="G86" t="b">
        <v>0</v>
      </c>
      <c r="H86" t="b">
        <v>0</v>
      </c>
      <c r="I86" t="b">
        <v>1</v>
      </c>
    </row>
    <row r="87" spans="1:9" x14ac:dyDescent="0.35">
      <c r="A87" t="s">
        <v>44</v>
      </c>
      <c r="B87">
        <v>1</v>
      </c>
      <c r="C87">
        <v>1</v>
      </c>
      <c r="D87">
        <v>1</v>
      </c>
      <c r="E87">
        <v>4</v>
      </c>
      <c r="F87">
        <v>1</v>
      </c>
      <c r="G87" t="b">
        <v>0</v>
      </c>
      <c r="H87" t="b">
        <v>0</v>
      </c>
      <c r="I87" t="b">
        <v>1</v>
      </c>
    </row>
    <row r="88" spans="1:9" x14ac:dyDescent="0.35">
      <c r="A88" t="s">
        <v>273</v>
      </c>
      <c r="B88">
        <v>1</v>
      </c>
      <c r="C88">
        <v>31</v>
      </c>
      <c r="D88">
        <v>135</v>
      </c>
      <c r="E88">
        <v>13</v>
      </c>
      <c r="F88">
        <v>1</v>
      </c>
      <c r="G88" t="b">
        <v>0</v>
      </c>
      <c r="H88" t="b">
        <v>0</v>
      </c>
      <c r="I88" t="b">
        <v>1</v>
      </c>
    </row>
    <row r="89" spans="1:9" x14ac:dyDescent="0.35">
      <c r="A89" t="s">
        <v>55</v>
      </c>
      <c r="B89">
        <v>14</v>
      </c>
      <c r="C89">
        <v>68</v>
      </c>
      <c r="D89">
        <v>38</v>
      </c>
      <c r="E89">
        <v>22</v>
      </c>
      <c r="F89">
        <v>200021</v>
      </c>
      <c r="G89" t="b">
        <v>1</v>
      </c>
      <c r="H89" t="b">
        <v>1</v>
      </c>
      <c r="I89" t="b">
        <v>1</v>
      </c>
    </row>
    <row r="90" spans="1:9" x14ac:dyDescent="0.35">
      <c r="A90" t="s">
        <v>47</v>
      </c>
      <c r="B90">
        <v>1</v>
      </c>
      <c r="C90">
        <v>1</v>
      </c>
      <c r="D90">
        <v>1</v>
      </c>
      <c r="E90">
        <v>2</v>
      </c>
      <c r="F90">
        <v>3</v>
      </c>
      <c r="G90" t="b">
        <v>1</v>
      </c>
      <c r="H90" t="b">
        <v>1</v>
      </c>
      <c r="I90" t="b">
        <v>1</v>
      </c>
    </row>
    <row r="91" spans="1:9" x14ac:dyDescent="0.35">
      <c r="A91" t="s">
        <v>54</v>
      </c>
      <c r="B91">
        <v>2</v>
      </c>
      <c r="C91">
        <v>2</v>
      </c>
      <c r="D91">
        <v>10</v>
      </c>
      <c r="E91">
        <v>2</v>
      </c>
      <c r="F91">
        <v>1</v>
      </c>
      <c r="G91" t="b">
        <v>1</v>
      </c>
      <c r="H91" t="b">
        <v>1</v>
      </c>
      <c r="I91" t="b">
        <v>1</v>
      </c>
    </row>
    <row r="92" spans="1:9" x14ac:dyDescent="0.35">
      <c r="A92" t="s">
        <v>48</v>
      </c>
      <c r="B92">
        <v>6</v>
      </c>
      <c r="C92">
        <v>15</v>
      </c>
      <c r="D92">
        <v>16</v>
      </c>
      <c r="E92">
        <v>20</v>
      </c>
      <c r="F92">
        <v>3</v>
      </c>
      <c r="G92" t="b">
        <v>1</v>
      </c>
      <c r="H92" t="b">
        <v>1</v>
      </c>
      <c r="I92" t="b">
        <v>1</v>
      </c>
    </row>
    <row r="93" spans="1:9" x14ac:dyDescent="0.35">
      <c r="A93" t="s">
        <v>325</v>
      </c>
      <c r="B93">
        <v>1</v>
      </c>
      <c r="C93">
        <v>20</v>
      </c>
      <c r="D93">
        <v>118</v>
      </c>
      <c r="E93">
        <v>11</v>
      </c>
      <c r="F93">
        <v>1</v>
      </c>
      <c r="G93" t="b">
        <v>0</v>
      </c>
      <c r="H93" t="b">
        <v>0</v>
      </c>
      <c r="I93" t="b">
        <v>1</v>
      </c>
    </row>
    <row r="94" spans="1:9" x14ac:dyDescent="0.35">
      <c r="A94" t="s">
        <v>54</v>
      </c>
      <c r="B94">
        <v>1</v>
      </c>
      <c r="C94">
        <v>4</v>
      </c>
      <c r="D94">
        <v>44</v>
      </c>
      <c r="E94">
        <v>1</v>
      </c>
      <c r="F94">
        <v>1</v>
      </c>
      <c r="G94" t="b">
        <v>1</v>
      </c>
      <c r="H94" t="b">
        <v>1</v>
      </c>
      <c r="I94" t="b">
        <v>1</v>
      </c>
    </row>
    <row r="95" spans="1:9" x14ac:dyDescent="0.35">
      <c r="A95" t="s">
        <v>47</v>
      </c>
      <c r="B95">
        <v>2</v>
      </c>
      <c r="C95">
        <v>2</v>
      </c>
      <c r="D95">
        <v>2</v>
      </c>
      <c r="E95">
        <v>5</v>
      </c>
      <c r="F95">
        <v>1</v>
      </c>
      <c r="G95" t="b">
        <v>1</v>
      </c>
      <c r="H95" t="b">
        <v>1</v>
      </c>
      <c r="I95" t="b">
        <v>1</v>
      </c>
    </row>
    <row r="96" spans="1:9" x14ac:dyDescent="0.35">
      <c r="A96" t="s">
        <v>35</v>
      </c>
      <c r="B96">
        <v>3</v>
      </c>
      <c r="C96">
        <v>3</v>
      </c>
      <c r="D96">
        <v>4</v>
      </c>
      <c r="E96">
        <v>6</v>
      </c>
      <c r="F96">
        <v>1</v>
      </c>
      <c r="G96" t="b">
        <v>1</v>
      </c>
      <c r="H96" t="b">
        <v>1</v>
      </c>
      <c r="I96" t="b">
        <v>1</v>
      </c>
    </row>
    <row r="97" spans="1:9" x14ac:dyDescent="0.35">
      <c r="A97" t="s">
        <v>35</v>
      </c>
      <c r="B97">
        <v>3</v>
      </c>
      <c r="C97">
        <v>3</v>
      </c>
      <c r="D97">
        <v>4</v>
      </c>
      <c r="E97">
        <v>6</v>
      </c>
      <c r="F97">
        <v>2</v>
      </c>
      <c r="G97" t="b">
        <v>1</v>
      </c>
      <c r="H97" t="b">
        <v>1</v>
      </c>
      <c r="I97" t="b">
        <v>1</v>
      </c>
    </row>
    <row r="98" spans="1:9" x14ac:dyDescent="0.35">
      <c r="A98" t="s">
        <v>44</v>
      </c>
      <c r="B98">
        <v>1</v>
      </c>
      <c r="C98">
        <v>17</v>
      </c>
      <c r="D98">
        <v>24</v>
      </c>
      <c r="E98">
        <v>4</v>
      </c>
      <c r="F98">
        <v>2</v>
      </c>
      <c r="G98" t="b">
        <v>0</v>
      </c>
      <c r="H98" t="b">
        <v>0</v>
      </c>
      <c r="I98" t="b">
        <v>1</v>
      </c>
    </row>
    <row r="99" spans="1:9" x14ac:dyDescent="0.35">
      <c r="A99" t="s">
        <v>44</v>
      </c>
      <c r="B99">
        <v>1</v>
      </c>
      <c r="C99">
        <v>17</v>
      </c>
      <c r="D99">
        <v>24</v>
      </c>
      <c r="E99">
        <v>4</v>
      </c>
      <c r="F99">
        <v>2</v>
      </c>
      <c r="G99" t="b">
        <v>0</v>
      </c>
      <c r="H99" t="b">
        <v>0</v>
      </c>
      <c r="I99" t="b">
        <v>1</v>
      </c>
    </row>
    <row r="100" spans="1:9" x14ac:dyDescent="0.35">
      <c r="A100" t="s">
        <v>44</v>
      </c>
      <c r="B100">
        <v>1</v>
      </c>
      <c r="C100">
        <v>17</v>
      </c>
      <c r="D100">
        <v>24</v>
      </c>
      <c r="E100">
        <v>4</v>
      </c>
      <c r="F100">
        <v>2</v>
      </c>
      <c r="G100" t="b">
        <v>0</v>
      </c>
      <c r="H100" t="b">
        <v>0</v>
      </c>
      <c r="I100" t="b">
        <v>1</v>
      </c>
    </row>
    <row r="101" spans="1:9" x14ac:dyDescent="0.35">
      <c r="A101" t="s">
        <v>44</v>
      </c>
      <c r="B101">
        <v>1</v>
      </c>
      <c r="C101">
        <v>17</v>
      </c>
      <c r="D101">
        <v>24</v>
      </c>
      <c r="E101">
        <v>4</v>
      </c>
      <c r="F101">
        <v>1</v>
      </c>
      <c r="G101" t="b">
        <v>0</v>
      </c>
      <c r="H101" t="b">
        <v>0</v>
      </c>
      <c r="I101" t="b">
        <v>1</v>
      </c>
    </row>
    <row r="102" spans="1:9" x14ac:dyDescent="0.35">
      <c r="A102" t="s">
        <v>53</v>
      </c>
      <c r="B102">
        <v>1</v>
      </c>
      <c r="C102">
        <v>15</v>
      </c>
      <c r="D102">
        <v>7</v>
      </c>
      <c r="E102">
        <v>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35">
      <c r="A103" t="s">
        <v>53</v>
      </c>
      <c r="B103">
        <v>1</v>
      </c>
      <c r="C103">
        <v>19</v>
      </c>
      <c r="D103">
        <v>8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35">
      <c r="A104" t="s">
        <v>44</v>
      </c>
      <c r="B104">
        <v>1</v>
      </c>
      <c r="C104">
        <v>4</v>
      </c>
      <c r="D104">
        <v>6</v>
      </c>
      <c r="E104">
        <v>4</v>
      </c>
      <c r="F104">
        <v>2</v>
      </c>
      <c r="G104" t="b">
        <v>0</v>
      </c>
      <c r="H104" t="b">
        <v>0</v>
      </c>
      <c r="I104" t="b">
        <v>1</v>
      </c>
    </row>
    <row r="105" spans="1:9" x14ac:dyDescent="0.35">
      <c r="A105" t="s">
        <v>53</v>
      </c>
      <c r="B105">
        <v>1</v>
      </c>
      <c r="C105">
        <v>15</v>
      </c>
      <c r="D105">
        <v>7</v>
      </c>
      <c r="E105">
        <v>3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35">
      <c r="A106" t="s">
        <v>53</v>
      </c>
      <c r="B106">
        <v>1</v>
      </c>
      <c r="C106">
        <v>19</v>
      </c>
      <c r="D106">
        <v>8</v>
      </c>
      <c r="E106">
        <v>3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35">
      <c r="A107" t="s">
        <v>52</v>
      </c>
      <c r="B107">
        <v>1</v>
      </c>
      <c r="C107">
        <v>1</v>
      </c>
      <c r="D107">
        <v>7</v>
      </c>
      <c r="E107">
        <v>1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35">
      <c r="A108" t="s">
        <v>50</v>
      </c>
      <c r="B108">
        <v>1</v>
      </c>
      <c r="C108">
        <v>2</v>
      </c>
      <c r="D108">
        <v>52</v>
      </c>
      <c r="E108">
        <v>11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35">
      <c r="A109" t="s">
        <v>56</v>
      </c>
      <c r="B109">
        <v>1</v>
      </c>
      <c r="C109">
        <v>25</v>
      </c>
      <c r="D109">
        <v>8</v>
      </c>
      <c r="E109">
        <v>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35">
      <c r="A110" t="s">
        <v>56</v>
      </c>
      <c r="B110">
        <v>1</v>
      </c>
      <c r="C110">
        <v>5</v>
      </c>
      <c r="D110">
        <v>1</v>
      </c>
      <c r="E110">
        <v>6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35">
      <c r="A111" t="s">
        <v>52</v>
      </c>
      <c r="B111">
        <v>1</v>
      </c>
      <c r="C111">
        <v>1</v>
      </c>
      <c r="D111">
        <v>7</v>
      </c>
      <c r="E111">
        <v>1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35">
      <c r="A112" t="s">
        <v>50</v>
      </c>
      <c r="B112">
        <v>1</v>
      </c>
      <c r="C112">
        <v>2</v>
      </c>
      <c r="D112">
        <v>51</v>
      </c>
      <c r="E112">
        <v>6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35">
      <c r="A113" t="s">
        <v>53</v>
      </c>
      <c r="B113">
        <v>1</v>
      </c>
      <c r="C113">
        <v>19</v>
      </c>
      <c r="D113">
        <v>8</v>
      </c>
      <c r="E113">
        <v>3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35">
      <c r="A114" t="s">
        <v>56</v>
      </c>
      <c r="B114">
        <v>1</v>
      </c>
      <c r="C114">
        <v>6</v>
      </c>
      <c r="D114">
        <v>1</v>
      </c>
      <c r="E114">
        <v>6</v>
      </c>
      <c r="F114">
        <v>2</v>
      </c>
      <c r="G114" t="b">
        <v>1</v>
      </c>
      <c r="H114" t="b">
        <v>1</v>
      </c>
      <c r="I114" t="b">
        <v>1</v>
      </c>
    </row>
    <row r="115" spans="1:9" x14ac:dyDescent="0.35">
      <c r="A115" t="s">
        <v>48</v>
      </c>
      <c r="B115">
        <v>1</v>
      </c>
      <c r="C115">
        <v>11</v>
      </c>
      <c r="D115">
        <v>12</v>
      </c>
      <c r="E115">
        <v>14</v>
      </c>
      <c r="F115">
        <v>1</v>
      </c>
      <c r="G115" t="b">
        <v>0</v>
      </c>
      <c r="H115" t="b">
        <v>0</v>
      </c>
      <c r="I115" t="b">
        <v>1</v>
      </c>
    </row>
    <row r="116" spans="1:9" x14ac:dyDescent="0.35">
      <c r="A116" t="s">
        <v>44</v>
      </c>
      <c r="B116">
        <v>1</v>
      </c>
      <c r="C116">
        <v>1</v>
      </c>
      <c r="D116">
        <v>1</v>
      </c>
      <c r="E116">
        <v>4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35">
      <c r="A117" t="s">
        <v>56</v>
      </c>
      <c r="B117">
        <v>1</v>
      </c>
      <c r="C117">
        <v>25</v>
      </c>
      <c r="D117">
        <v>8</v>
      </c>
      <c r="E117">
        <v>6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35">
      <c r="A118" t="s">
        <v>52</v>
      </c>
      <c r="B118">
        <v>1</v>
      </c>
      <c r="C118">
        <v>1</v>
      </c>
      <c r="D118">
        <v>7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35">
      <c r="A119" t="s">
        <v>35</v>
      </c>
      <c r="B119">
        <v>1</v>
      </c>
      <c r="C119">
        <v>67</v>
      </c>
      <c r="D119">
        <v>37</v>
      </c>
      <c r="E119">
        <v>3</v>
      </c>
      <c r="F119">
        <v>1</v>
      </c>
      <c r="G119" t="b">
        <v>0</v>
      </c>
      <c r="H119" t="b">
        <v>0</v>
      </c>
      <c r="I119" t="b">
        <v>1</v>
      </c>
    </row>
    <row r="120" spans="1:9" x14ac:dyDescent="0.35">
      <c r="A120" t="s">
        <v>54</v>
      </c>
      <c r="B120">
        <v>1</v>
      </c>
      <c r="C120">
        <v>2</v>
      </c>
      <c r="D120">
        <v>24</v>
      </c>
      <c r="E120">
        <v>1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35">
      <c r="A121" t="s">
        <v>54</v>
      </c>
      <c r="B121">
        <v>1</v>
      </c>
      <c r="C121">
        <v>1</v>
      </c>
      <c r="D121">
        <v>23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35">
      <c r="A122" t="s">
        <v>64</v>
      </c>
      <c r="B122">
        <v>1</v>
      </c>
      <c r="C122">
        <v>6</v>
      </c>
      <c r="D122">
        <v>80</v>
      </c>
      <c r="E122">
        <v>11</v>
      </c>
      <c r="F122">
        <v>1</v>
      </c>
      <c r="G122" t="b">
        <v>0</v>
      </c>
      <c r="H122" t="b">
        <v>0</v>
      </c>
      <c r="I122" t="b">
        <v>1</v>
      </c>
    </row>
    <row r="123" spans="1:9" x14ac:dyDescent="0.35">
      <c r="A123" t="s">
        <v>47</v>
      </c>
      <c r="B123">
        <v>2</v>
      </c>
      <c r="C123">
        <v>2</v>
      </c>
      <c r="D123">
        <v>2</v>
      </c>
      <c r="E123">
        <v>5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35">
      <c r="A124" t="s">
        <v>73</v>
      </c>
      <c r="B124">
        <v>2</v>
      </c>
      <c r="C124">
        <v>2</v>
      </c>
      <c r="D124">
        <v>2</v>
      </c>
      <c r="E124">
        <v>4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35">
      <c r="A125" t="s">
        <v>74</v>
      </c>
      <c r="B125">
        <v>1</v>
      </c>
      <c r="C125">
        <v>1</v>
      </c>
      <c r="D125">
        <v>1</v>
      </c>
      <c r="E125">
        <v>8</v>
      </c>
      <c r="F125">
        <v>2</v>
      </c>
      <c r="G125" t="b">
        <v>1</v>
      </c>
      <c r="H125" t="b">
        <v>1</v>
      </c>
      <c r="I125" t="b">
        <v>1</v>
      </c>
    </row>
    <row r="126" spans="1:9" x14ac:dyDescent="0.35">
      <c r="A126" t="s">
        <v>74</v>
      </c>
      <c r="B126">
        <v>1</v>
      </c>
      <c r="C126">
        <v>1</v>
      </c>
      <c r="D126">
        <v>1</v>
      </c>
      <c r="E126">
        <v>5</v>
      </c>
      <c r="F126">
        <v>1</v>
      </c>
      <c r="G126" t="b">
        <v>0</v>
      </c>
      <c r="H126" t="b">
        <v>0</v>
      </c>
      <c r="I126" t="b">
        <v>1</v>
      </c>
    </row>
    <row r="127" spans="1:9" x14ac:dyDescent="0.35">
      <c r="A127" t="s">
        <v>74</v>
      </c>
      <c r="B127">
        <v>1</v>
      </c>
      <c r="C127">
        <v>1</v>
      </c>
      <c r="D127">
        <v>1</v>
      </c>
      <c r="E127">
        <v>5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35">
      <c r="A128" t="s">
        <v>74</v>
      </c>
      <c r="B128">
        <v>1</v>
      </c>
      <c r="C128">
        <v>1</v>
      </c>
      <c r="D128">
        <v>1</v>
      </c>
      <c r="E128">
        <v>2</v>
      </c>
      <c r="F128">
        <v>2</v>
      </c>
      <c r="G128" t="b">
        <v>1</v>
      </c>
      <c r="H128" t="b">
        <v>1</v>
      </c>
      <c r="I128" t="b">
        <v>1</v>
      </c>
    </row>
    <row r="129" spans="1:9" x14ac:dyDescent="0.35">
      <c r="A129" t="s">
        <v>52</v>
      </c>
      <c r="B129">
        <v>1</v>
      </c>
      <c r="C129">
        <v>1</v>
      </c>
      <c r="D129">
        <v>6</v>
      </c>
      <c r="E129">
        <v>1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35">
      <c r="A130" t="s">
        <v>67</v>
      </c>
      <c r="B130">
        <v>1</v>
      </c>
      <c r="C130">
        <v>1</v>
      </c>
      <c r="D130">
        <v>13</v>
      </c>
      <c r="E130">
        <v>3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35">
      <c r="A131" t="s">
        <v>69</v>
      </c>
      <c r="B131">
        <v>2</v>
      </c>
      <c r="C131">
        <v>12</v>
      </c>
      <c r="D131">
        <v>4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35">
      <c r="A132" t="s">
        <v>54</v>
      </c>
      <c r="B132">
        <v>1</v>
      </c>
      <c r="C132">
        <v>1</v>
      </c>
      <c r="D132">
        <v>3</v>
      </c>
      <c r="E132">
        <v>4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35">
      <c r="A133" t="s">
        <v>54</v>
      </c>
      <c r="B133">
        <v>1</v>
      </c>
      <c r="C133">
        <v>1</v>
      </c>
      <c r="D133">
        <v>3</v>
      </c>
      <c r="E133">
        <v>4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35">
      <c r="A134" t="s">
        <v>35</v>
      </c>
      <c r="B134">
        <v>1</v>
      </c>
      <c r="C134">
        <v>12</v>
      </c>
      <c r="D134">
        <v>5</v>
      </c>
      <c r="E134">
        <v>2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35">
      <c r="A135" t="s">
        <v>68</v>
      </c>
      <c r="B135">
        <v>7</v>
      </c>
      <c r="C135">
        <v>15</v>
      </c>
      <c r="D135">
        <v>10</v>
      </c>
      <c r="E135">
        <v>13</v>
      </c>
      <c r="F135">
        <v>3</v>
      </c>
      <c r="G135" t="b">
        <v>1</v>
      </c>
      <c r="H135" t="b">
        <v>1</v>
      </c>
      <c r="I135" t="b">
        <v>1</v>
      </c>
    </row>
    <row r="136" spans="1:9" x14ac:dyDescent="0.35">
      <c r="A136" t="s">
        <v>69</v>
      </c>
      <c r="B136">
        <v>1</v>
      </c>
      <c r="C136">
        <v>14</v>
      </c>
      <c r="D136">
        <v>12</v>
      </c>
      <c r="E136">
        <v>17</v>
      </c>
      <c r="F136">
        <v>3</v>
      </c>
      <c r="G136" t="b">
        <v>1</v>
      </c>
      <c r="H136" t="b">
        <v>1</v>
      </c>
      <c r="I136" t="b">
        <v>1</v>
      </c>
    </row>
    <row r="137" spans="1:9" x14ac:dyDescent="0.35">
      <c r="A137" t="s">
        <v>68</v>
      </c>
      <c r="B137">
        <v>1</v>
      </c>
      <c r="C137">
        <v>6</v>
      </c>
      <c r="D137">
        <v>1</v>
      </c>
      <c r="E137">
        <v>7</v>
      </c>
      <c r="F137">
        <v>1</v>
      </c>
      <c r="G137" t="b">
        <v>0</v>
      </c>
      <c r="H137" t="b">
        <v>0</v>
      </c>
      <c r="I137" t="b">
        <v>1</v>
      </c>
    </row>
    <row r="138" spans="1:9" x14ac:dyDescent="0.35">
      <c r="A138" t="s">
        <v>290</v>
      </c>
      <c r="B138">
        <v>5</v>
      </c>
      <c r="C138">
        <v>45</v>
      </c>
      <c r="D138">
        <v>14</v>
      </c>
      <c r="E138">
        <v>10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35">
      <c r="A139" t="s">
        <v>69</v>
      </c>
      <c r="B139">
        <v>2</v>
      </c>
      <c r="C139">
        <v>13</v>
      </c>
      <c r="D139">
        <v>4</v>
      </c>
      <c r="E139">
        <v>2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35">
      <c r="A140" t="s">
        <v>68</v>
      </c>
      <c r="B140">
        <v>1</v>
      </c>
      <c r="C140">
        <v>4</v>
      </c>
      <c r="D140">
        <v>1</v>
      </c>
      <c r="E140">
        <v>7</v>
      </c>
      <c r="F140">
        <v>1</v>
      </c>
      <c r="G140" t="b">
        <v>0</v>
      </c>
      <c r="H140" t="b">
        <v>0</v>
      </c>
      <c r="I140" t="b">
        <v>1</v>
      </c>
    </row>
    <row r="141" spans="1:9" x14ac:dyDescent="0.35">
      <c r="A141" t="s">
        <v>74</v>
      </c>
      <c r="B141">
        <v>1</v>
      </c>
      <c r="C141">
        <v>15</v>
      </c>
      <c r="D141">
        <v>1</v>
      </c>
      <c r="E141">
        <v>6</v>
      </c>
      <c r="F141">
        <v>1</v>
      </c>
      <c r="G141" t="b">
        <v>0</v>
      </c>
      <c r="H141" t="b">
        <v>0</v>
      </c>
      <c r="I141" t="b">
        <v>1</v>
      </c>
    </row>
    <row r="142" spans="1:9" x14ac:dyDescent="0.35">
      <c r="A142" t="s">
        <v>68</v>
      </c>
      <c r="B142">
        <v>1</v>
      </c>
      <c r="C142">
        <v>4</v>
      </c>
      <c r="D142">
        <v>1</v>
      </c>
      <c r="E142">
        <v>7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35">
      <c r="A143" t="s">
        <v>74</v>
      </c>
      <c r="B143">
        <v>1</v>
      </c>
      <c r="C143">
        <v>15</v>
      </c>
      <c r="D143">
        <v>1</v>
      </c>
      <c r="E143">
        <v>6</v>
      </c>
      <c r="F143">
        <v>100021</v>
      </c>
      <c r="G143" t="b">
        <v>0</v>
      </c>
      <c r="H143" t="b">
        <v>0</v>
      </c>
      <c r="I143" t="b">
        <v>1</v>
      </c>
    </row>
    <row r="144" spans="1:9" x14ac:dyDescent="0.35">
      <c r="A144" t="s">
        <v>74</v>
      </c>
      <c r="B144">
        <v>1</v>
      </c>
      <c r="C144">
        <v>2</v>
      </c>
      <c r="D144">
        <v>1</v>
      </c>
      <c r="E144">
        <v>8</v>
      </c>
      <c r="F144">
        <v>2</v>
      </c>
      <c r="G144" t="b">
        <v>0</v>
      </c>
      <c r="H144" t="b">
        <v>0</v>
      </c>
      <c r="I144" t="b">
        <v>1</v>
      </c>
    </row>
    <row r="145" spans="1:9" x14ac:dyDescent="0.35">
      <c r="A145" t="s">
        <v>76</v>
      </c>
      <c r="B145">
        <v>4</v>
      </c>
      <c r="C145">
        <v>23</v>
      </c>
      <c r="D145">
        <v>18</v>
      </c>
      <c r="E145">
        <v>4</v>
      </c>
      <c r="F145">
        <v>2</v>
      </c>
      <c r="G145" t="b">
        <v>1</v>
      </c>
      <c r="H145" t="b">
        <v>1</v>
      </c>
      <c r="I145" t="b">
        <v>1</v>
      </c>
    </row>
    <row r="146" spans="1:9" x14ac:dyDescent="0.35">
      <c r="A146" t="s">
        <v>73</v>
      </c>
      <c r="B146">
        <v>1</v>
      </c>
      <c r="C146">
        <v>1</v>
      </c>
      <c r="D146">
        <v>1</v>
      </c>
      <c r="E146">
        <v>2</v>
      </c>
      <c r="F146">
        <v>3</v>
      </c>
      <c r="G146" t="b">
        <v>1</v>
      </c>
      <c r="H146" t="b">
        <v>1</v>
      </c>
      <c r="I146" t="b">
        <v>1</v>
      </c>
    </row>
    <row r="147" spans="1:9" x14ac:dyDescent="0.35">
      <c r="A147" t="s">
        <v>74</v>
      </c>
      <c r="B147">
        <v>1</v>
      </c>
      <c r="C147">
        <v>1</v>
      </c>
      <c r="D147">
        <v>1</v>
      </c>
      <c r="E147">
        <v>5</v>
      </c>
      <c r="F147">
        <v>100021</v>
      </c>
      <c r="G147" t="b">
        <v>0</v>
      </c>
      <c r="H147" t="b">
        <v>0</v>
      </c>
      <c r="I147" t="b">
        <v>1</v>
      </c>
    </row>
    <row r="148" spans="1:9" x14ac:dyDescent="0.35">
      <c r="A148" t="s">
        <v>72</v>
      </c>
      <c r="B148">
        <v>5</v>
      </c>
      <c r="C148">
        <v>1</v>
      </c>
      <c r="D148">
        <v>2</v>
      </c>
      <c r="E148">
        <v>16</v>
      </c>
      <c r="F148">
        <v>200021</v>
      </c>
      <c r="G148" t="b">
        <v>1</v>
      </c>
      <c r="H148" t="b">
        <v>1</v>
      </c>
      <c r="I148" t="b">
        <v>1</v>
      </c>
    </row>
    <row r="149" spans="1:9" x14ac:dyDescent="0.35">
      <c r="A149" t="s">
        <v>72</v>
      </c>
      <c r="B149">
        <v>9</v>
      </c>
      <c r="C149">
        <v>1</v>
      </c>
      <c r="D149">
        <v>2</v>
      </c>
      <c r="E149">
        <v>16</v>
      </c>
      <c r="F149">
        <v>200021</v>
      </c>
      <c r="G149" t="b">
        <v>1</v>
      </c>
      <c r="H149" t="b">
        <v>1</v>
      </c>
      <c r="I149" t="b">
        <v>1</v>
      </c>
    </row>
    <row r="150" spans="1:9" x14ac:dyDescent="0.35">
      <c r="A150" t="s">
        <v>73</v>
      </c>
      <c r="B150">
        <v>1</v>
      </c>
      <c r="C150">
        <v>1</v>
      </c>
      <c r="D150">
        <v>1</v>
      </c>
      <c r="E150">
        <v>2</v>
      </c>
      <c r="F150">
        <v>3</v>
      </c>
      <c r="G150" t="b">
        <v>1</v>
      </c>
      <c r="H150" t="b">
        <v>1</v>
      </c>
      <c r="I150" t="b">
        <v>1</v>
      </c>
    </row>
    <row r="151" spans="1:9" x14ac:dyDescent="0.35">
      <c r="A151" t="s">
        <v>74</v>
      </c>
      <c r="B151">
        <v>1</v>
      </c>
      <c r="C151">
        <v>17</v>
      </c>
      <c r="D151">
        <v>1</v>
      </c>
      <c r="E151">
        <v>6</v>
      </c>
      <c r="F151">
        <v>100021</v>
      </c>
      <c r="G151" t="b">
        <v>0</v>
      </c>
      <c r="H151" t="b">
        <v>0</v>
      </c>
      <c r="I151" t="b">
        <v>1</v>
      </c>
    </row>
    <row r="152" spans="1:9" x14ac:dyDescent="0.35">
      <c r="A152" t="s">
        <v>75</v>
      </c>
      <c r="B152">
        <v>3</v>
      </c>
      <c r="C152">
        <v>17</v>
      </c>
      <c r="D152">
        <v>7</v>
      </c>
      <c r="E152">
        <v>14</v>
      </c>
      <c r="F152">
        <v>5</v>
      </c>
      <c r="G152" t="b">
        <v>1</v>
      </c>
      <c r="H152" t="b">
        <v>1</v>
      </c>
      <c r="I152" t="b">
        <v>1</v>
      </c>
    </row>
    <row r="153" spans="1:9" x14ac:dyDescent="0.35">
      <c r="A153" t="s">
        <v>66</v>
      </c>
      <c r="B153">
        <v>1</v>
      </c>
      <c r="C153">
        <v>9</v>
      </c>
      <c r="D153">
        <v>1</v>
      </c>
      <c r="E153">
        <v>11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35">
      <c r="A154" t="s">
        <v>66</v>
      </c>
      <c r="B154">
        <v>1</v>
      </c>
      <c r="C154">
        <v>11</v>
      </c>
      <c r="D154">
        <v>1</v>
      </c>
      <c r="E154">
        <v>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35">
      <c r="A155" t="s">
        <v>68</v>
      </c>
      <c r="B155">
        <v>1</v>
      </c>
      <c r="C155">
        <v>6</v>
      </c>
      <c r="D155">
        <v>1</v>
      </c>
      <c r="E155">
        <v>7</v>
      </c>
      <c r="F155">
        <v>1</v>
      </c>
      <c r="G155" t="b">
        <v>0</v>
      </c>
      <c r="H155" t="b">
        <v>0</v>
      </c>
      <c r="I155" t="b">
        <v>1</v>
      </c>
    </row>
    <row r="156" spans="1:9" x14ac:dyDescent="0.35">
      <c r="A156" t="s">
        <v>290</v>
      </c>
      <c r="B156">
        <v>5</v>
      </c>
      <c r="C156">
        <v>45</v>
      </c>
      <c r="D156">
        <v>14</v>
      </c>
      <c r="E156">
        <v>10</v>
      </c>
      <c r="F156">
        <v>1</v>
      </c>
      <c r="G156" t="b">
        <v>0</v>
      </c>
      <c r="H156" t="b">
        <v>0</v>
      </c>
      <c r="I156" t="b">
        <v>1</v>
      </c>
    </row>
    <row r="157" spans="1:9" x14ac:dyDescent="0.35">
      <c r="A157" t="s">
        <v>69</v>
      </c>
      <c r="B157">
        <v>2</v>
      </c>
      <c r="C157">
        <v>13</v>
      </c>
      <c r="D157">
        <v>4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35">
      <c r="A158" t="s">
        <v>69</v>
      </c>
      <c r="B158">
        <v>2</v>
      </c>
      <c r="C158">
        <v>9</v>
      </c>
      <c r="D158">
        <v>7</v>
      </c>
      <c r="E158">
        <v>8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35">
      <c r="A159" t="s">
        <v>78</v>
      </c>
      <c r="B159">
        <v>1</v>
      </c>
      <c r="C159">
        <v>1</v>
      </c>
      <c r="D159">
        <v>11</v>
      </c>
      <c r="E159">
        <v>4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35">
      <c r="A160" t="s">
        <v>71</v>
      </c>
      <c r="B160">
        <v>2</v>
      </c>
      <c r="C160">
        <v>9</v>
      </c>
      <c r="D160">
        <v>55</v>
      </c>
      <c r="E160">
        <v>15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35">
      <c r="A161" t="s">
        <v>54</v>
      </c>
      <c r="B161">
        <v>1</v>
      </c>
      <c r="C161">
        <v>1</v>
      </c>
      <c r="D161">
        <v>10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35">
      <c r="A162" t="s">
        <v>35</v>
      </c>
      <c r="B162">
        <v>3</v>
      </c>
      <c r="C162">
        <v>3</v>
      </c>
      <c r="D162">
        <v>4</v>
      </c>
      <c r="E162">
        <v>6</v>
      </c>
      <c r="F162">
        <v>100021</v>
      </c>
      <c r="G162" t="b">
        <v>1</v>
      </c>
      <c r="H162" t="b">
        <v>1</v>
      </c>
      <c r="I162" t="b">
        <v>1</v>
      </c>
    </row>
    <row r="163" spans="1:9" x14ac:dyDescent="0.35">
      <c r="A163" t="s">
        <v>66</v>
      </c>
      <c r="B163">
        <v>1</v>
      </c>
      <c r="C163">
        <v>14</v>
      </c>
      <c r="D163">
        <v>1</v>
      </c>
      <c r="E163">
        <v>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35">
      <c r="A164" t="s">
        <v>66</v>
      </c>
      <c r="B164">
        <v>1</v>
      </c>
      <c r="C164">
        <v>14</v>
      </c>
      <c r="D164">
        <v>1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35">
      <c r="A165" t="s">
        <v>54</v>
      </c>
      <c r="B165">
        <v>1</v>
      </c>
      <c r="C165">
        <v>1</v>
      </c>
      <c r="D165">
        <v>3</v>
      </c>
      <c r="E165">
        <v>4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35">
      <c r="A166" t="s">
        <v>66</v>
      </c>
      <c r="B166">
        <v>1</v>
      </c>
      <c r="C166">
        <v>14</v>
      </c>
      <c r="D166">
        <v>1</v>
      </c>
      <c r="E166">
        <v>1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35">
      <c r="A167" t="s">
        <v>66</v>
      </c>
      <c r="B167">
        <v>1</v>
      </c>
      <c r="C167">
        <v>14</v>
      </c>
      <c r="D167">
        <v>1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35">
      <c r="A168" t="s">
        <v>73</v>
      </c>
      <c r="B168">
        <v>2</v>
      </c>
      <c r="C168">
        <v>2</v>
      </c>
      <c r="D168">
        <v>2</v>
      </c>
      <c r="E168">
        <v>4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35">
      <c r="A169" t="s">
        <v>51</v>
      </c>
      <c r="B169">
        <v>6</v>
      </c>
      <c r="C169">
        <v>6</v>
      </c>
      <c r="D169">
        <v>8</v>
      </c>
      <c r="E169">
        <v>9</v>
      </c>
      <c r="F169">
        <v>2</v>
      </c>
      <c r="G169" t="b">
        <v>1</v>
      </c>
      <c r="H169" t="b">
        <v>1</v>
      </c>
      <c r="I169" t="b">
        <v>1</v>
      </c>
    </row>
    <row r="170" spans="1:9" x14ac:dyDescent="0.35">
      <c r="A170" t="s">
        <v>68</v>
      </c>
      <c r="B170">
        <v>1</v>
      </c>
      <c r="C170">
        <v>4</v>
      </c>
      <c r="D170">
        <v>1</v>
      </c>
      <c r="E170">
        <v>7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35">
      <c r="A171" t="s">
        <v>65</v>
      </c>
      <c r="B171">
        <v>4</v>
      </c>
      <c r="C171">
        <v>4</v>
      </c>
      <c r="D171">
        <v>5</v>
      </c>
      <c r="E171">
        <v>10</v>
      </c>
      <c r="F171">
        <v>2</v>
      </c>
      <c r="G171" t="b">
        <v>1</v>
      </c>
      <c r="H171" t="b">
        <v>1</v>
      </c>
      <c r="I171" t="b">
        <v>1</v>
      </c>
    </row>
    <row r="172" spans="1:9" x14ac:dyDescent="0.35">
      <c r="A172" t="s">
        <v>68</v>
      </c>
      <c r="B172">
        <v>1</v>
      </c>
      <c r="C172">
        <v>4</v>
      </c>
      <c r="D172">
        <v>1</v>
      </c>
      <c r="E172">
        <v>7</v>
      </c>
      <c r="F172">
        <v>1</v>
      </c>
      <c r="G172" t="b">
        <v>0</v>
      </c>
      <c r="H172" t="b">
        <v>0</v>
      </c>
      <c r="I172" t="b">
        <v>1</v>
      </c>
    </row>
    <row r="173" spans="1:9" x14ac:dyDescent="0.35">
      <c r="A173" t="s">
        <v>52</v>
      </c>
      <c r="B173">
        <v>1</v>
      </c>
      <c r="C173">
        <v>1</v>
      </c>
      <c r="D173">
        <v>6</v>
      </c>
      <c r="E173">
        <v>1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35">
      <c r="A174" t="s">
        <v>67</v>
      </c>
      <c r="B174">
        <v>1</v>
      </c>
      <c r="C174">
        <v>1</v>
      </c>
      <c r="D174">
        <v>13</v>
      </c>
      <c r="E174">
        <v>3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35">
      <c r="A175" t="s">
        <v>69</v>
      </c>
      <c r="B175">
        <v>2</v>
      </c>
      <c r="C175">
        <v>12</v>
      </c>
      <c r="D175">
        <v>4</v>
      </c>
      <c r="E175">
        <v>2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35">
      <c r="A176" t="s">
        <v>51</v>
      </c>
      <c r="B176">
        <v>6</v>
      </c>
      <c r="C176">
        <v>6</v>
      </c>
      <c r="D176">
        <v>8</v>
      </c>
      <c r="E176">
        <v>9</v>
      </c>
      <c r="F176">
        <v>2</v>
      </c>
      <c r="G176" t="b">
        <v>1</v>
      </c>
      <c r="H176" t="b">
        <v>1</v>
      </c>
      <c r="I176" t="b">
        <v>1</v>
      </c>
    </row>
    <row r="177" spans="1:9" x14ac:dyDescent="0.35">
      <c r="A177" t="s">
        <v>68</v>
      </c>
      <c r="B177">
        <v>1</v>
      </c>
      <c r="C177">
        <v>4</v>
      </c>
      <c r="D177">
        <v>1</v>
      </c>
      <c r="E177">
        <v>7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35">
      <c r="A178" t="s">
        <v>89</v>
      </c>
      <c r="B178">
        <v>1</v>
      </c>
      <c r="C178">
        <v>4</v>
      </c>
      <c r="D178">
        <v>30</v>
      </c>
      <c r="E178">
        <v>3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35">
      <c r="A179" t="s">
        <v>68</v>
      </c>
      <c r="B179">
        <v>1</v>
      </c>
      <c r="C179">
        <v>5</v>
      </c>
      <c r="D179">
        <v>1</v>
      </c>
      <c r="E179">
        <v>7</v>
      </c>
      <c r="F179">
        <v>1</v>
      </c>
      <c r="G179" t="b">
        <v>0</v>
      </c>
      <c r="H179" t="b">
        <v>0</v>
      </c>
      <c r="I179" t="b">
        <v>1</v>
      </c>
    </row>
    <row r="180" spans="1:9" x14ac:dyDescent="0.35">
      <c r="A180" t="s">
        <v>69</v>
      </c>
      <c r="B180">
        <v>2</v>
      </c>
      <c r="C180">
        <v>9</v>
      </c>
      <c r="D180">
        <v>7</v>
      </c>
      <c r="E180">
        <v>8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35">
      <c r="A181" t="s">
        <v>74</v>
      </c>
      <c r="B181">
        <v>1</v>
      </c>
      <c r="C181">
        <v>17</v>
      </c>
      <c r="D181">
        <v>1</v>
      </c>
      <c r="E181">
        <v>6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35">
      <c r="A182" t="s">
        <v>68</v>
      </c>
      <c r="B182">
        <v>1</v>
      </c>
      <c r="C182">
        <v>4</v>
      </c>
      <c r="D182">
        <v>1</v>
      </c>
      <c r="E182">
        <v>7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35">
      <c r="A183" t="s">
        <v>69</v>
      </c>
      <c r="B183">
        <v>2</v>
      </c>
      <c r="C183">
        <v>13</v>
      </c>
      <c r="D183">
        <v>4</v>
      </c>
      <c r="E183">
        <v>2</v>
      </c>
      <c r="F183">
        <v>2</v>
      </c>
      <c r="G183" t="b">
        <v>1</v>
      </c>
      <c r="H183" t="b">
        <v>1</v>
      </c>
      <c r="I183" t="b">
        <v>1</v>
      </c>
    </row>
    <row r="184" spans="1:9" x14ac:dyDescent="0.35">
      <c r="A184" t="s">
        <v>67</v>
      </c>
      <c r="B184">
        <v>1</v>
      </c>
      <c r="C184">
        <v>2</v>
      </c>
      <c r="D184">
        <v>22</v>
      </c>
      <c r="E184">
        <v>15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35">
      <c r="A185" t="s">
        <v>69</v>
      </c>
      <c r="B185">
        <v>2</v>
      </c>
      <c r="C185">
        <v>15</v>
      </c>
      <c r="D185">
        <v>4</v>
      </c>
      <c r="E185">
        <v>2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35">
      <c r="A186" t="s">
        <v>67</v>
      </c>
      <c r="B186">
        <v>1</v>
      </c>
      <c r="C186">
        <v>2</v>
      </c>
      <c r="D186">
        <v>22</v>
      </c>
      <c r="E186">
        <v>15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35">
      <c r="A187" t="s">
        <v>69</v>
      </c>
      <c r="B187">
        <v>2</v>
      </c>
      <c r="C187">
        <v>15</v>
      </c>
      <c r="D187">
        <v>4</v>
      </c>
      <c r="E187">
        <v>2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35">
      <c r="A188" t="s">
        <v>67</v>
      </c>
      <c r="B188">
        <v>1</v>
      </c>
      <c r="C188">
        <v>2</v>
      </c>
      <c r="D188">
        <v>22</v>
      </c>
      <c r="E188">
        <v>15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35">
      <c r="A189" t="s">
        <v>68</v>
      </c>
      <c r="B189">
        <v>1</v>
      </c>
      <c r="C189">
        <v>8</v>
      </c>
      <c r="D189">
        <v>1</v>
      </c>
      <c r="E189">
        <v>7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35">
      <c r="A190" t="s">
        <v>67</v>
      </c>
      <c r="B190">
        <v>1</v>
      </c>
      <c r="C190">
        <v>2</v>
      </c>
      <c r="D190">
        <v>22</v>
      </c>
      <c r="E190">
        <v>15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35">
      <c r="A191" t="s">
        <v>68</v>
      </c>
      <c r="B191">
        <v>1</v>
      </c>
      <c r="C191">
        <v>8</v>
      </c>
      <c r="D191">
        <v>1</v>
      </c>
      <c r="E191">
        <v>7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35">
      <c r="A192" t="s">
        <v>70</v>
      </c>
      <c r="B192">
        <v>1</v>
      </c>
      <c r="C192">
        <v>7</v>
      </c>
      <c r="D192">
        <v>27</v>
      </c>
      <c r="E192">
        <v>4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35">
      <c r="A193" t="s">
        <v>68</v>
      </c>
      <c r="B193">
        <v>1</v>
      </c>
      <c r="C193">
        <v>6</v>
      </c>
      <c r="D193">
        <v>1</v>
      </c>
      <c r="E193">
        <v>7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35">
      <c r="A194" t="s">
        <v>52</v>
      </c>
      <c r="B194">
        <v>1</v>
      </c>
      <c r="C194">
        <v>1</v>
      </c>
      <c r="D194">
        <v>9</v>
      </c>
      <c r="E194">
        <v>1</v>
      </c>
      <c r="F194">
        <v>3</v>
      </c>
      <c r="G194" t="b">
        <v>0</v>
      </c>
      <c r="H194" t="b">
        <v>0</v>
      </c>
      <c r="I194" t="b">
        <v>1</v>
      </c>
    </row>
    <row r="195" spans="1:9" x14ac:dyDescent="0.35">
      <c r="A195" t="s">
        <v>68</v>
      </c>
      <c r="B195">
        <v>1</v>
      </c>
      <c r="C195">
        <v>6</v>
      </c>
      <c r="D195">
        <v>1</v>
      </c>
      <c r="E195">
        <v>7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35">
      <c r="A196" t="s">
        <v>87</v>
      </c>
      <c r="B196">
        <v>4</v>
      </c>
      <c r="C196">
        <v>21</v>
      </c>
      <c r="D196">
        <v>15</v>
      </c>
      <c r="E196">
        <v>3</v>
      </c>
      <c r="F196">
        <v>7</v>
      </c>
      <c r="G196" t="b">
        <v>1</v>
      </c>
      <c r="H196" t="b">
        <v>1</v>
      </c>
      <c r="I196" t="b">
        <v>1</v>
      </c>
    </row>
    <row r="197" spans="1:9" x14ac:dyDescent="0.35">
      <c r="A197" t="s">
        <v>54</v>
      </c>
      <c r="B197">
        <v>1</v>
      </c>
      <c r="C197">
        <v>1</v>
      </c>
      <c r="D197">
        <v>10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35">
      <c r="A198" t="s">
        <v>74</v>
      </c>
      <c r="B198">
        <v>1</v>
      </c>
      <c r="C198">
        <v>15</v>
      </c>
      <c r="D198">
        <v>1</v>
      </c>
      <c r="E198">
        <v>6</v>
      </c>
      <c r="F198">
        <v>3</v>
      </c>
      <c r="G198" t="b">
        <v>0</v>
      </c>
      <c r="H198" t="b">
        <v>0</v>
      </c>
      <c r="I198" t="b">
        <v>1</v>
      </c>
    </row>
    <row r="199" spans="1:9" x14ac:dyDescent="0.35">
      <c r="A199" t="s">
        <v>68</v>
      </c>
      <c r="B199">
        <v>1</v>
      </c>
      <c r="C199">
        <v>4</v>
      </c>
      <c r="D199">
        <v>1</v>
      </c>
      <c r="E199">
        <v>7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35">
      <c r="A200" t="s">
        <v>75</v>
      </c>
      <c r="B200">
        <v>3</v>
      </c>
      <c r="C200">
        <v>19</v>
      </c>
      <c r="D200">
        <v>7</v>
      </c>
      <c r="E200">
        <v>4</v>
      </c>
      <c r="F200">
        <v>7</v>
      </c>
      <c r="G200" t="b">
        <v>1</v>
      </c>
      <c r="H200" t="b">
        <v>1</v>
      </c>
      <c r="I200" t="b">
        <v>1</v>
      </c>
    </row>
    <row r="201" spans="1:9" x14ac:dyDescent="0.35">
      <c r="A201" t="s">
        <v>85</v>
      </c>
      <c r="B201">
        <v>2</v>
      </c>
      <c r="C201">
        <v>2</v>
      </c>
      <c r="D201">
        <v>10</v>
      </c>
      <c r="E201">
        <v>2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35">
      <c r="A202" t="s">
        <v>81</v>
      </c>
      <c r="B202">
        <v>1</v>
      </c>
      <c r="C202">
        <v>1</v>
      </c>
      <c r="D202">
        <v>12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35">
      <c r="A203" t="s">
        <v>66</v>
      </c>
      <c r="B203">
        <v>1</v>
      </c>
      <c r="C203">
        <v>12</v>
      </c>
      <c r="D203">
        <v>1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35">
      <c r="A204" t="s">
        <v>65</v>
      </c>
      <c r="B204">
        <v>1</v>
      </c>
      <c r="C204">
        <v>39</v>
      </c>
      <c r="D204">
        <v>8</v>
      </c>
      <c r="E204">
        <v>4</v>
      </c>
      <c r="F204">
        <v>2</v>
      </c>
      <c r="G204" t="b">
        <v>0</v>
      </c>
      <c r="H204" t="b">
        <v>0</v>
      </c>
      <c r="I204" t="b">
        <v>1</v>
      </c>
    </row>
    <row r="205" spans="1:9" x14ac:dyDescent="0.35">
      <c r="A205" t="s">
        <v>72</v>
      </c>
      <c r="B205">
        <v>9</v>
      </c>
      <c r="C205">
        <v>1</v>
      </c>
      <c r="D205">
        <v>2</v>
      </c>
      <c r="E205">
        <v>16</v>
      </c>
      <c r="F205">
        <v>200021</v>
      </c>
      <c r="G205" t="b">
        <v>1</v>
      </c>
      <c r="H205" t="b">
        <v>1</v>
      </c>
      <c r="I205" t="b">
        <v>1</v>
      </c>
    </row>
    <row r="206" spans="1:9" x14ac:dyDescent="0.35">
      <c r="A206" t="s">
        <v>73</v>
      </c>
      <c r="B206">
        <v>1</v>
      </c>
      <c r="C206">
        <v>1</v>
      </c>
      <c r="D206">
        <v>1</v>
      </c>
      <c r="E206">
        <v>2</v>
      </c>
      <c r="F206">
        <v>3</v>
      </c>
      <c r="G206" t="b">
        <v>1</v>
      </c>
      <c r="H206" t="b">
        <v>1</v>
      </c>
      <c r="I206" t="b">
        <v>1</v>
      </c>
    </row>
    <row r="207" spans="1:9" x14ac:dyDescent="0.35">
      <c r="A207" t="s">
        <v>74</v>
      </c>
      <c r="B207">
        <v>1</v>
      </c>
      <c r="C207">
        <v>17</v>
      </c>
      <c r="D207">
        <v>1</v>
      </c>
      <c r="E207">
        <v>6</v>
      </c>
      <c r="F207">
        <v>100021</v>
      </c>
      <c r="G207" t="b">
        <v>0</v>
      </c>
      <c r="H207" t="b">
        <v>0</v>
      </c>
      <c r="I207" t="b">
        <v>1</v>
      </c>
    </row>
    <row r="208" spans="1:9" x14ac:dyDescent="0.35">
      <c r="A208" t="s">
        <v>52</v>
      </c>
      <c r="B208">
        <v>1</v>
      </c>
      <c r="C208">
        <v>1</v>
      </c>
      <c r="D208">
        <v>6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35">
      <c r="A209" t="s">
        <v>85</v>
      </c>
      <c r="B209">
        <v>2</v>
      </c>
      <c r="C209">
        <v>2</v>
      </c>
      <c r="D209">
        <v>10</v>
      </c>
      <c r="E209">
        <v>2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35">
      <c r="A210" t="s">
        <v>81</v>
      </c>
      <c r="B210">
        <v>1</v>
      </c>
      <c r="C210">
        <v>2</v>
      </c>
      <c r="D210">
        <v>18</v>
      </c>
      <c r="E210">
        <v>13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35">
      <c r="A211" t="s">
        <v>66</v>
      </c>
      <c r="B211">
        <v>1</v>
      </c>
      <c r="C211">
        <v>12</v>
      </c>
      <c r="D211">
        <v>1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35">
      <c r="A212" t="s">
        <v>66</v>
      </c>
      <c r="B212">
        <v>1</v>
      </c>
      <c r="C212">
        <v>11</v>
      </c>
      <c r="D212">
        <v>1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35">
      <c r="A213" t="s">
        <v>68</v>
      </c>
      <c r="B213">
        <v>1</v>
      </c>
      <c r="C213">
        <v>6</v>
      </c>
      <c r="D213">
        <v>1</v>
      </c>
      <c r="E213">
        <v>7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35">
      <c r="A214" t="s">
        <v>290</v>
      </c>
      <c r="B214">
        <v>5</v>
      </c>
      <c r="C214">
        <v>45</v>
      </c>
      <c r="D214">
        <v>14</v>
      </c>
      <c r="E214">
        <v>10</v>
      </c>
      <c r="F214">
        <v>1</v>
      </c>
      <c r="G214" t="b">
        <v>0</v>
      </c>
      <c r="H214" t="b">
        <v>0</v>
      </c>
      <c r="I214" t="b">
        <v>1</v>
      </c>
    </row>
    <row r="215" spans="1:9" x14ac:dyDescent="0.35">
      <c r="A215" t="s">
        <v>69</v>
      </c>
      <c r="B215">
        <v>2</v>
      </c>
      <c r="C215">
        <v>13</v>
      </c>
      <c r="D215">
        <v>4</v>
      </c>
      <c r="E215">
        <v>2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35">
      <c r="A216" t="s">
        <v>69</v>
      </c>
      <c r="B216">
        <v>2</v>
      </c>
      <c r="C216">
        <v>9</v>
      </c>
      <c r="D216">
        <v>7</v>
      </c>
      <c r="E216">
        <v>8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35">
      <c r="A217" t="s">
        <v>78</v>
      </c>
      <c r="B217">
        <v>1</v>
      </c>
      <c r="C217">
        <v>1</v>
      </c>
      <c r="D217">
        <v>11</v>
      </c>
      <c r="E217">
        <v>4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35">
      <c r="A218" t="s">
        <v>71</v>
      </c>
      <c r="B218">
        <v>2</v>
      </c>
      <c r="C218">
        <v>9</v>
      </c>
      <c r="D218">
        <v>55</v>
      </c>
      <c r="E218">
        <v>15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35">
      <c r="A219" t="s">
        <v>54</v>
      </c>
      <c r="B219">
        <v>1</v>
      </c>
      <c r="C219">
        <v>1</v>
      </c>
      <c r="D219">
        <v>10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35">
      <c r="A220" t="s">
        <v>35</v>
      </c>
      <c r="B220">
        <v>3</v>
      </c>
      <c r="C220">
        <v>3</v>
      </c>
      <c r="D220">
        <v>4</v>
      </c>
      <c r="E220">
        <v>6</v>
      </c>
      <c r="F220">
        <v>100021</v>
      </c>
      <c r="G220" t="b">
        <v>1</v>
      </c>
      <c r="H220" t="b">
        <v>1</v>
      </c>
      <c r="I220" t="b">
        <v>1</v>
      </c>
    </row>
    <row r="221" spans="1:9" x14ac:dyDescent="0.35">
      <c r="A221" t="s">
        <v>66</v>
      </c>
      <c r="B221">
        <v>1</v>
      </c>
      <c r="C221">
        <v>14</v>
      </c>
      <c r="D221">
        <v>1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35">
      <c r="A222" t="s">
        <v>66</v>
      </c>
      <c r="B222">
        <v>1</v>
      </c>
      <c r="C222">
        <v>14</v>
      </c>
      <c r="D222">
        <v>1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35">
      <c r="A223" t="s">
        <v>66</v>
      </c>
      <c r="B223">
        <v>1</v>
      </c>
      <c r="C223">
        <v>14</v>
      </c>
      <c r="D223">
        <v>1</v>
      </c>
      <c r="E223">
        <v>1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35">
      <c r="A224" t="s">
        <v>69</v>
      </c>
      <c r="B224">
        <v>2</v>
      </c>
      <c r="C224">
        <v>11</v>
      </c>
      <c r="D224">
        <v>4</v>
      </c>
      <c r="E224">
        <v>12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35">
      <c r="A225" t="s">
        <v>54</v>
      </c>
      <c r="B225">
        <v>1</v>
      </c>
      <c r="C225">
        <v>1</v>
      </c>
      <c r="D225">
        <v>3</v>
      </c>
      <c r="E225">
        <v>4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35">
      <c r="A226" t="s">
        <v>66</v>
      </c>
      <c r="B226">
        <v>1</v>
      </c>
      <c r="C226">
        <v>14</v>
      </c>
      <c r="D226">
        <v>1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35">
      <c r="A227" t="s">
        <v>218</v>
      </c>
      <c r="B227">
        <v>1</v>
      </c>
      <c r="C227">
        <v>7</v>
      </c>
      <c r="D227">
        <v>11</v>
      </c>
      <c r="E227">
        <v>15</v>
      </c>
      <c r="F227">
        <v>2</v>
      </c>
      <c r="G227" t="b">
        <v>0</v>
      </c>
      <c r="H227" t="b">
        <v>0</v>
      </c>
      <c r="I227" t="b">
        <v>1</v>
      </c>
    </row>
    <row r="228" spans="1:9" x14ac:dyDescent="0.35">
      <c r="A228" t="s">
        <v>274</v>
      </c>
      <c r="B228">
        <v>1</v>
      </c>
      <c r="C228">
        <v>24</v>
      </c>
      <c r="D228">
        <v>85</v>
      </c>
      <c r="E228">
        <v>12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35">
      <c r="A229" t="s">
        <v>218</v>
      </c>
      <c r="B229">
        <v>1</v>
      </c>
      <c r="C229">
        <v>18</v>
      </c>
      <c r="D229">
        <v>13</v>
      </c>
      <c r="E229">
        <v>4</v>
      </c>
      <c r="F229">
        <v>1</v>
      </c>
      <c r="G229" t="b">
        <v>0</v>
      </c>
      <c r="H229" t="b">
        <v>0</v>
      </c>
      <c r="I229" t="b">
        <v>1</v>
      </c>
    </row>
    <row r="230" spans="1:9" x14ac:dyDescent="0.35">
      <c r="A230" t="s">
        <v>92</v>
      </c>
      <c r="B230">
        <v>2</v>
      </c>
      <c r="C230">
        <v>2</v>
      </c>
      <c r="D230">
        <v>2</v>
      </c>
      <c r="E230">
        <v>6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35">
      <c r="A231" t="s">
        <v>274</v>
      </c>
      <c r="B231">
        <v>1</v>
      </c>
      <c r="C231">
        <v>24</v>
      </c>
      <c r="D231">
        <v>91</v>
      </c>
      <c r="E231">
        <v>19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35">
      <c r="A232" t="s">
        <v>218</v>
      </c>
      <c r="B232">
        <v>1</v>
      </c>
      <c r="C232">
        <v>18</v>
      </c>
      <c r="D232">
        <v>13</v>
      </c>
      <c r="E232">
        <v>4</v>
      </c>
      <c r="F232">
        <v>1</v>
      </c>
      <c r="G232" t="b">
        <v>0</v>
      </c>
      <c r="H232" t="b">
        <v>0</v>
      </c>
      <c r="I232" t="b">
        <v>1</v>
      </c>
    </row>
    <row r="233" spans="1:9" x14ac:dyDescent="0.35">
      <c r="A233" t="s">
        <v>92</v>
      </c>
      <c r="B233">
        <v>1</v>
      </c>
      <c r="C233">
        <v>1</v>
      </c>
      <c r="D233">
        <v>1</v>
      </c>
      <c r="E233">
        <v>6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35">
      <c r="A234" t="s">
        <v>97</v>
      </c>
      <c r="B234">
        <v>2</v>
      </c>
      <c r="C234">
        <v>9</v>
      </c>
      <c r="D234">
        <v>7</v>
      </c>
      <c r="E234">
        <v>6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35">
      <c r="A235" t="s">
        <v>275</v>
      </c>
      <c r="B235">
        <v>1</v>
      </c>
      <c r="C235">
        <v>17</v>
      </c>
      <c r="D235">
        <v>1</v>
      </c>
      <c r="E235">
        <v>2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35">
      <c r="A236" t="s">
        <v>98</v>
      </c>
      <c r="B236">
        <v>1</v>
      </c>
      <c r="C236">
        <v>4</v>
      </c>
      <c r="D236">
        <v>1</v>
      </c>
      <c r="E236">
        <v>5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35">
      <c r="A237" t="s">
        <v>99</v>
      </c>
      <c r="B237">
        <v>3</v>
      </c>
      <c r="C237">
        <v>3</v>
      </c>
      <c r="D237">
        <v>4</v>
      </c>
      <c r="E237">
        <v>7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35">
      <c r="A238" t="s">
        <v>102</v>
      </c>
      <c r="B238">
        <v>5</v>
      </c>
      <c r="C238">
        <v>6</v>
      </c>
      <c r="D238">
        <v>4</v>
      </c>
      <c r="E238">
        <v>17</v>
      </c>
      <c r="F238">
        <v>11</v>
      </c>
      <c r="G238" t="b">
        <v>1</v>
      </c>
      <c r="H238" t="b">
        <v>1</v>
      </c>
      <c r="I238" t="b">
        <v>1</v>
      </c>
    </row>
    <row r="239" spans="1:9" x14ac:dyDescent="0.35">
      <c r="A239" t="s">
        <v>101</v>
      </c>
      <c r="B239">
        <v>2</v>
      </c>
      <c r="C239">
        <v>12</v>
      </c>
      <c r="D239">
        <v>4</v>
      </c>
      <c r="E239">
        <v>6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35">
      <c r="A240" t="s">
        <v>275</v>
      </c>
      <c r="B240">
        <v>1</v>
      </c>
      <c r="C240">
        <v>23</v>
      </c>
      <c r="D240">
        <v>1</v>
      </c>
      <c r="E240">
        <v>2</v>
      </c>
      <c r="F240">
        <v>1</v>
      </c>
      <c r="G240" t="b">
        <v>0</v>
      </c>
      <c r="H240" t="b">
        <v>0</v>
      </c>
      <c r="I240" t="b">
        <v>1</v>
      </c>
    </row>
    <row r="241" spans="1:9" x14ac:dyDescent="0.35">
      <c r="A241" t="s">
        <v>98</v>
      </c>
      <c r="B241">
        <v>1</v>
      </c>
      <c r="C241">
        <v>4</v>
      </c>
      <c r="D241">
        <v>1</v>
      </c>
      <c r="E241">
        <v>5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35">
      <c r="A242" t="s">
        <v>101</v>
      </c>
      <c r="B242">
        <v>2</v>
      </c>
      <c r="C242">
        <v>12</v>
      </c>
      <c r="D242">
        <v>4</v>
      </c>
      <c r="E242">
        <v>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35">
      <c r="A243" t="s">
        <v>100</v>
      </c>
      <c r="B243">
        <v>1</v>
      </c>
      <c r="C243">
        <v>10</v>
      </c>
      <c r="D243">
        <v>1</v>
      </c>
      <c r="E243">
        <v>4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35">
      <c r="A244" t="s">
        <v>100</v>
      </c>
      <c r="B244">
        <v>1</v>
      </c>
      <c r="C244">
        <v>10</v>
      </c>
      <c r="D244">
        <v>1</v>
      </c>
      <c r="E244">
        <v>4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35">
      <c r="A245" t="s">
        <v>96</v>
      </c>
      <c r="B245">
        <v>7</v>
      </c>
      <c r="C245">
        <v>27</v>
      </c>
      <c r="D245">
        <v>80</v>
      </c>
      <c r="E245">
        <v>11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35">
      <c r="A246" t="s">
        <v>100</v>
      </c>
      <c r="B246">
        <v>1</v>
      </c>
      <c r="C246">
        <v>10</v>
      </c>
      <c r="D246">
        <v>1</v>
      </c>
      <c r="E246">
        <v>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35">
      <c r="A247" t="s">
        <v>97</v>
      </c>
      <c r="B247">
        <v>2</v>
      </c>
      <c r="C247">
        <v>9</v>
      </c>
      <c r="D247">
        <v>7</v>
      </c>
      <c r="E247">
        <v>6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35">
      <c r="A248" t="s">
        <v>103</v>
      </c>
      <c r="B248">
        <v>1</v>
      </c>
      <c r="C248">
        <v>14</v>
      </c>
      <c r="D248">
        <v>62</v>
      </c>
      <c r="E248">
        <v>16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35">
      <c r="A249" t="s">
        <v>100</v>
      </c>
      <c r="B249">
        <v>1</v>
      </c>
      <c r="C249">
        <v>10</v>
      </c>
      <c r="D249">
        <v>1</v>
      </c>
      <c r="E249">
        <v>4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35">
      <c r="A250" t="s">
        <v>95</v>
      </c>
      <c r="B250">
        <v>1</v>
      </c>
      <c r="C250">
        <v>5</v>
      </c>
      <c r="D250">
        <v>1</v>
      </c>
      <c r="E250">
        <v>1</v>
      </c>
      <c r="F250">
        <v>7</v>
      </c>
      <c r="G250" t="b">
        <v>1</v>
      </c>
      <c r="H250" t="b">
        <v>1</v>
      </c>
      <c r="I250" t="b">
        <v>1</v>
      </c>
    </row>
    <row r="251" spans="1:9" x14ac:dyDescent="0.35">
      <c r="A251" t="s">
        <v>97</v>
      </c>
      <c r="B251">
        <v>2</v>
      </c>
      <c r="C251">
        <v>9</v>
      </c>
      <c r="D251">
        <v>7</v>
      </c>
      <c r="E251">
        <v>6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35">
      <c r="A252" t="s">
        <v>99</v>
      </c>
      <c r="B252">
        <v>2</v>
      </c>
      <c r="C252">
        <v>2</v>
      </c>
      <c r="D252">
        <v>3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35">
      <c r="A253" t="s">
        <v>166</v>
      </c>
      <c r="B253">
        <v>1</v>
      </c>
      <c r="C253">
        <v>2</v>
      </c>
      <c r="D253">
        <v>1</v>
      </c>
      <c r="E253">
        <v>1</v>
      </c>
      <c r="F253">
        <v>1</v>
      </c>
      <c r="G253" t="b">
        <v>0</v>
      </c>
      <c r="H253" t="b">
        <v>0</v>
      </c>
      <c r="I253" t="b">
        <v>1</v>
      </c>
    </row>
    <row r="254" spans="1:9" x14ac:dyDescent="0.35">
      <c r="A254" t="s">
        <v>104</v>
      </c>
      <c r="B254">
        <v>1</v>
      </c>
      <c r="C254">
        <v>18</v>
      </c>
      <c r="D254">
        <v>37</v>
      </c>
      <c r="E254">
        <v>7</v>
      </c>
      <c r="F254">
        <v>2</v>
      </c>
      <c r="G254" t="b">
        <v>0</v>
      </c>
      <c r="H254" t="b">
        <v>0</v>
      </c>
      <c r="I254" t="b">
        <v>1</v>
      </c>
    </row>
    <row r="255" spans="1:9" x14ac:dyDescent="0.35">
      <c r="A255" t="s">
        <v>104</v>
      </c>
      <c r="B255">
        <v>1</v>
      </c>
      <c r="C255">
        <v>26</v>
      </c>
      <c r="D255">
        <v>41</v>
      </c>
      <c r="E255">
        <v>7</v>
      </c>
      <c r="F255">
        <v>1</v>
      </c>
      <c r="G255" t="b">
        <v>0</v>
      </c>
      <c r="H255" t="b">
        <v>0</v>
      </c>
      <c r="I255" t="b">
        <v>1</v>
      </c>
    </row>
    <row r="256" spans="1:9" x14ac:dyDescent="0.35">
      <c r="A256" t="s">
        <v>104</v>
      </c>
      <c r="B256">
        <v>1</v>
      </c>
      <c r="C256">
        <v>34</v>
      </c>
      <c r="D256">
        <v>45</v>
      </c>
      <c r="E256">
        <v>7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35">
      <c r="A257" t="s">
        <v>104</v>
      </c>
      <c r="B257">
        <v>1</v>
      </c>
      <c r="C257">
        <v>34</v>
      </c>
      <c r="D257">
        <v>45</v>
      </c>
      <c r="E257">
        <v>7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35">
      <c r="A258" t="s">
        <v>104</v>
      </c>
      <c r="B258">
        <v>1</v>
      </c>
      <c r="C258">
        <v>26</v>
      </c>
      <c r="D258">
        <v>41</v>
      </c>
      <c r="E258">
        <v>7</v>
      </c>
      <c r="F258">
        <v>1</v>
      </c>
      <c r="G258" t="b">
        <v>0</v>
      </c>
      <c r="H258" t="b">
        <v>0</v>
      </c>
      <c r="I258" t="b">
        <v>1</v>
      </c>
    </row>
    <row r="259" spans="1:9" x14ac:dyDescent="0.35">
      <c r="A259" t="s">
        <v>104</v>
      </c>
      <c r="B259">
        <v>1</v>
      </c>
      <c r="C259">
        <v>26</v>
      </c>
      <c r="D259">
        <v>41</v>
      </c>
      <c r="E259">
        <v>7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35">
      <c r="A260" t="s">
        <v>104</v>
      </c>
      <c r="B260">
        <v>1</v>
      </c>
      <c r="C260">
        <v>26</v>
      </c>
      <c r="D260">
        <v>41</v>
      </c>
      <c r="E260">
        <v>7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35">
      <c r="A261" t="s">
        <v>104</v>
      </c>
      <c r="B261">
        <v>1</v>
      </c>
      <c r="C261">
        <v>26</v>
      </c>
      <c r="D261">
        <v>41</v>
      </c>
      <c r="E261">
        <v>7</v>
      </c>
      <c r="F261">
        <v>2</v>
      </c>
      <c r="G261" t="b">
        <v>1</v>
      </c>
      <c r="H261" t="b">
        <v>1</v>
      </c>
      <c r="I261" t="b">
        <v>1</v>
      </c>
    </row>
    <row r="262" spans="1:9" x14ac:dyDescent="0.35">
      <c r="A262" t="s">
        <v>111</v>
      </c>
      <c r="B262">
        <v>1</v>
      </c>
      <c r="C262">
        <v>3</v>
      </c>
      <c r="D262">
        <v>1</v>
      </c>
      <c r="E262">
        <v>9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35">
      <c r="A263" t="s">
        <v>111</v>
      </c>
      <c r="B263">
        <v>1</v>
      </c>
      <c r="C263">
        <v>3</v>
      </c>
      <c r="D263">
        <v>1</v>
      </c>
      <c r="E263">
        <v>9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35">
      <c r="A264" t="s">
        <v>276</v>
      </c>
      <c r="B264">
        <v>1</v>
      </c>
      <c r="C264">
        <v>8</v>
      </c>
      <c r="D264">
        <v>17</v>
      </c>
      <c r="E264">
        <v>1</v>
      </c>
      <c r="F264">
        <v>2</v>
      </c>
      <c r="G264" t="b">
        <v>0</v>
      </c>
      <c r="H264" t="b">
        <v>0</v>
      </c>
      <c r="I264" t="b">
        <v>1</v>
      </c>
    </row>
    <row r="265" spans="1:9" x14ac:dyDescent="0.35">
      <c r="A265" t="s">
        <v>117</v>
      </c>
      <c r="B265">
        <v>2</v>
      </c>
      <c r="C265">
        <v>10</v>
      </c>
      <c r="D265">
        <v>9</v>
      </c>
      <c r="E265">
        <v>8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35">
      <c r="A266" t="s">
        <v>111</v>
      </c>
      <c r="B266">
        <v>1</v>
      </c>
      <c r="C266">
        <v>3</v>
      </c>
      <c r="D266">
        <v>1</v>
      </c>
      <c r="E266">
        <v>9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35">
      <c r="A267" t="s">
        <v>219</v>
      </c>
      <c r="B267">
        <v>2</v>
      </c>
      <c r="C267">
        <v>18</v>
      </c>
      <c r="D267">
        <v>17</v>
      </c>
      <c r="E267">
        <v>11</v>
      </c>
      <c r="F267">
        <v>3</v>
      </c>
      <c r="G267" t="b">
        <v>0</v>
      </c>
      <c r="H267" t="b">
        <v>0</v>
      </c>
      <c r="I267" t="b">
        <v>1</v>
      </c>
    </row>
    <row r="268" spans="1:9" x14ac:dyDescent="0.35">
      <c r="A268" t="s">
        <v>111</v>
      </c>
      <c r="B268">
        <v>1</v>
      </c>
      <c r="C268">
        <v>3</v>
      </c>
      <c r="D268">
        <v>1</v>
      </c>
      <c r="E268">
        <v>9</v>
      </c>
      <c r="F268">
        <v>100021</v>
      </c>
      <c r="G268" t="b">
        <v>1</v>
      </c>
      <c r="H268" t="b">
        <v>1</v>
      </c>
      <c r="I268" t="b">
        <v>1</v>
      </c>
    </row>
    <row r="269" spans="1:9" x14ac:dyDescent="0.35">
      <c r="A269" t="s">
        <v>115</v>
      </c>
      <c r="B269">
        <v>4</v>
      </c>
      <c r="C269">
        <v>13</v>
      </c>
      <c r="D269">
        <v>13</v>
      </c>
      <c r="E269">
        <v>16</v>
      </c>
      <c r="F269">
        <v>5</v>
      </c>
      <c r="G269" t="b">
        <v>1</v>
      </c>
      <c r="H269" t="b">
        <v>1</v>
      </c>
      <c r="I269" t="b">
        <v>1</v>
      </c>
    </row>
    <row r="270" spans="1:9" x14ac:dyDescent="0.35">
      <c r="A270" t="s">
        <v>112</v>
      </c>
      <c r="B270">
        <v>1</v>
      </c>
      <c r="C270">
        <v>7</v>
      </c>
      <c r="D270">
        <v>11</v>
      </c>
      <c r="E270">
        <v>19</v>
      </c>
      <c r="F270">
        <v>2</v>
      </c>
      <c r="G270" t="b">
        <v>1</v>
      </c>
      <c r="H270" t="b">
        <v>1</v>
      </c>
      <c r="I270" t="b">
        <v>1</v>
      </c>
    </row>
    <row r="271" spans="1:9" x14ac:dyDescent="0.35">
      <c r="A271" t="s">
        <v>137</v>
      </c>
      <c r="B271">
        <v>3</v>
      </c>
      <c r="C271">
        <v>60</v>
      </c>
      <c r="D271">
        <v>34</v>
      </c>
      <c r="E271">
        <v>6</v>
      </c>
      <c r="F271">
        <v>2</v>
      </c>
      <c r="G271" t="b">
        <v>0</v>
      </c>
      <c r="H271" t="b">
        <v>0</v>
      </c>
      <c r="I271" t="b">
        <v>1</v>
      </c>
    </row>
    <row r="272" spans="1:9" x14ac:dyDescent="0.35">
      <c r="A272" t="s">
        <v>113</v>
      </c>
      <c r="B272">
        <v>17</v>
      </c>
      <c r="C272">
        <v>6</v>
      </c>
      <c r="D272">
        <v>2</v>
      </c>
      <c r="E272">
        <v>5</v>
      </c>
      <c r="F272">
        <v>211021</v>
      </c>
      <c r="G272" t="b">
        <v>1</v>
      </c>
      <c r="H272" t="b">
        <v>1</v>
      </c>
      <c r="I272" t="b">
        <v>1</v>
      </c>
    </row>
    <row r="273" spans="1:9" x14ac:dyDescent="0.35">
      <c r="A273" t="s">
        <v>114</v>
      </c>
      <c r="B273">
        <v>2</v>
      </c>
      <c r="C273">
        <v>31</v>
      </c>
      <c r="D273">
        <v>1</v>
      </c>
      <c r="E273">
        <v>22</v>
      </c>
      <c r="F273">
        <v>4</v>
      </c>
      <c r="G273" t="b">
        <v>1</v>
      </c>
      <c r="H273" t="b">
        <v>1</v>
      </c>
      <c r="I273" t="b">
        <v>1</v>
      </c>
    </row>
    <row r="274" spans="1:9" x14ac:dyDescent="0.35">
      <c r="A274" t="s">
        <v>117</v>
      </c>
      <c r="B274">
        <v>2</v>
      </c>
      <c r="C274">
        <v>12</v>
      </c>
      <c r="D274">
        <v>10</v>
      </c>
      <c r="E274">
        <v>8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35">
      <c r="A275" t="s">
        <v>137</v>
      </c>
      <c r="B275">
        <v>2</v>
      </c>
      <c r="C275">
        <v>59</v>
      </c>
      <c r="D275">
        <v>33</v>
      </c>
      <c r="E275">
        <v>6</v>
      </c>
      <c r="F275">
        <v>100021</v>
      </c>
      <c r="G275" t="b">
        <v>0</v>
      </c>
      <c r="H275" t="b">
        <v>0</v>
      </c>
      <c r="I275" t="b">
        <v>1</v>
      </c>
    </row>
    <row r="276" spans="1:9" x14ac:dyDescent="0.35">
      <c r="A276" t="s">
        <v>114</v>
      </c>
      <c r="B276">
        <v>6</v>
      </c>
      <c r="C276">
        <v>31</v>
      </c>
      <c r="D276">
        <v>1</v>
      </c>
      <c r="E276">
        <v>22</v>
      </c>
      <c r="F276">
        <v>10</v>
      </c>
      <c r="G276" t="b">
        <v>1</v>
      </c>
      <c r="H276" t="b">
        <v>1</v>
      </c>
      <c r="I276" t="b">
        <v>1</v>
      </c>
    </row>
    <row r="277" spans="1:9" x14ac:dyDescent="0.35">
      <c r="A277" t="s">
        <v>121</v>
      </c>
      <c r="B277">
        <v>2</v>
      </c>
      <c r="C277">
        <v>6</v>
      </c>
      <c r="D277">
        <v>49</v>
      </c>
      <c r="E277">
        <v>13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35">
      <c r="A278" t="s">
        <v>123</v>
      </c>
      <c r="B278">
        <v>2</v>
      </c>
      <c r="C278">
        <v>7</v>
      </c>
      <c r="D278">
        <v>5</v>
      </c>
      <c r="E278">
        <v>11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35">
      <c r="A279" t="s">
        <v>120</v>
      </c>
      <c r="B279">
        <v>1</v>
      </c>
      <c r="C279">
        <v>5</v>
      </c>
      <c r="D279">
        <v>48</v>
      </c>
      <c r="E279">
        <v>12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35">
      <c r="A280" t="s">
        <v>122</v>
      </c>
      <c r="B280">
        <v>1</v>
      </c>
      <c r="C280">
        <v>4</v>
      </c>
      <c r="D280">
        <v>1</v>
      </c>
      <c r="E280">
        <v>10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35">
      <c r="A281" t="s">
        <v>124</v>
      </c>
      <c r="B281">
        <v>2</v>
      </c>
      <c r="C281">
        <v>6</v>
      </c>
      <c r="D281">
        <v>5</v>
      </c>
      <c r="E281">
        <v>9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35">
      <c r="A282" t="s">
        <v>119</v>
      </c>
      <c r="B282">
        <v>1</v>
      </c>
      <c r="C282">
        <v>3</v>
      </c>
      <c r="D282">
        <v>1</v>
      </c>
      <c r="E282">
        <v>6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35">
      <c r="A283" t="s">
        <v>125</v>
      </c>
      <c r="B283">
        <v>1</v>
      </c>
      <c r="C283">
        <v>2</v>
      </c>
      <c r="D283">
        <v>17</v>
      </c>
      <c r="E283">
        <v>12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35">
      <c r="A284" t="s">
        <v>119</v>
      </c>
      <c r="B284">
        <v>1</v>
      </c>
      <c r="C284">
        <v>3</v>
      </c>
      <c r="D284">
        <v>1</v>
      </c>
      <c r="E284">
        <v>6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35">
      <c r="A285" t="s">
        <v>35</v>
      </c>
      <c r="B285">
        <v>3</v>
      </c>
      <c r="C285">
        <v>3</v>
      </c>
      <c r="D285">
        <v>4</v>
      </c>
      <c r="E285">
        <v>5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35">
      <c r="A286" t="s">
        <v>35</v>
      </c>
      <c r="B286">
        <v>3</v>
      </c>
      <c r="C286">
        <v>3</v>
      </c>
      <c r="D286">
        <v>4</v>
      </c>
      <c r="E286">
        <v>5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35">
      <c r="A287" t="s">
        <v>126</v>
      </c>
      <c r="B287">
        <v>1</v>
      </c>
      <c r="C287">
        <v>3</v>
      </c>
      <c r="D287">
        <v>5</v>
      </c>
      <c r="E287">
        <v>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35">
      <c r="A288" t="s">
        <v>277</v>
      </c>
      <c r="B288">
        <v>1</v>
      </c>
      <c r="C288">
        <v>19</v>
      </c>
      <c r="D288">
        <v>56</v>
      </c>
      <c r="E288">
        <v>7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35">
      <c r="A289" t="s">
        <v>220</v>
      </c>
      <c r="B289">
        <v>1</v>
      </c>
      <c r="C289">
        <v>9</v>
      </c>
      <c r="D289">
        <v>9</v>
      </c>
      <c r="E289">
        <v>1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35">
      <c r="A290" t="s">
        <v>129</v>
      </c>
      <c r="B290">
        <v>1</v>
      </c>
      <c r="C290">
        <v>1</v>
      </c>
      <c r="D290">
        <v>2</v>
      </c>
      <c r="E290">
        <v>2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35">
      <c r="A291" t="s">
        <v>126</v>
      </c>
      <c r="B291">
        <v>1</v>
      </c>
      <c r="C291">
        <v>3</v>
      </c>
      <c r="D291">
        <v>5</v>
      </c>
      <c r="E291">
        <v>4</v>
      </c>
      <c r="F291">
        <v>1</v>
      </c>
      <c r="G291" t="b">
        <v>0</v>
      </c>
      <c r="H291" t="b">
        <v>0</v>
      </c>
      <c r="I291" t="b">
        <v>1</v>
      </c>
    </row>
    <row r="292" spans="1:9" x14ac:dyDescent="0.35">
      <c r="A292" t="s">
        <v>220</v>
      </c>
      <c r="B292">
        <v>1</v>
      </c>
      <c r="C292">
        <v>9</v>
      </c>
      <c r="D292">
        <v>9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35">
      <c r="A293" t="s">
        <v>126</v>
      </c>
      <c r="B293">
        <v>4</v>
      </c>
      <c r="C293">
        <v>13</v>
      </c>
      <c r="D293">
        <v>19</v>
      </c>
      <c r="E293">
        <v>9</v>
      </c>
      <c r="F293">
        <v>110031</v>
      </c>
      <c r="G293" t="b">
        <v>1</v>
      </c>
      <c r="H293" t="b">
        <v>1</v>
      </c>
      <c r="I293" t="b">
        <v>1</v>
      </c>
    </row>
    <row r="294" spans="1:9" x14ac:dyDescent="0.35">
      <c r="A294" t="s">
        <v>220</v>
      </c>
      <c r="B294">
        <v>1</v>
      </c>
      <c r="C294">
        <v>9</v>
      </c>
      <c r="D294">
        <v>9</v>
      </c>
      <c r="E294">
        <v>1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35">
      <c r="A295" t="s">
        <v>134</v>
      </c>
      <c r="B295">
        <v>3</v>
      </c>
      <c r="C295">
        <v>79</v>
      </c>
      <c r="D295">
        <v>413</v>
      </c>
      <c r="E295">
        <v>10</v>
      </c>
      <c r="F295">
        <v>3</v>
      </c>
      <c r="G295" t="b">
        <v>1</v>
      </c>
      <c r="H295" t="b">
        <v>1</v>
      </c>
      <c r="I295" t="b">
        <v>1</v>
      </c>
    </row>
    <row r="296" spans="1:9" x14ac:dyDescent="0.35">
      <c r="A296" t="s">
        <v>132</v>
      </c>
      <c r="B296">
        <v>2</v>
      </c>
      <c r="C296">
        <v>43</v>
      </c>
      <c r="D296">
        <v>51</v>
      </c>
      <c r="E296">
        <v>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35">
      <c r="A297" t="s">
        <v>131</v>
      </c>
      <c r="B297">
        <v>4</v>
      </c>
      <c r="C297">
        <v>74</v>
      </c>
      <c r="D297">
        <v>408</v>
      </c>
      <c r="E297">
        <v>9</v>
      </c>
      <c r="F297">
        <v>2</v>
      </c>
      <c r="G297" t="b">
        <v>1</v>
      </c>
      <c r="H297" t="b">
        <v>1</v>
      </c>
      <c r="I297" t="b">
        <v>1</v>
      </c>
    </row>
    <row r="298" spans="1:9" x14ac:dyDescent="0.35">
      <c r="A298" t="s">
        <v>133</v>
      </c>
      <c r="B298">
        <v>1</v>
      </c>
      <c r="C298">
        <v>37</v>
      </c>
      <c r="D298">
        <v>41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35">
      <c r="A299" t="s">
        <v>131</v>
      </c>
      <c r="B299">
        <v>1</v>
      </c>
      <c r="C299">
        <v>126</v>
      </c>
      <c r="D299">
        <v>460</v>
      </c>
      <c r="E299">
        <v>10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35">
      <c r="A300" t="s">
        <v>133</v>
      </c>
      <c r="B300">
        <v>1</v>
      </c>
      <c r="C300">
        <v>45</v>
      </c>
      <c r="D300">
        <v>45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35">
      <c r="A301" t="s">
        <v>131</v>
      </c>
      <c r="B301">
        <v>1</v>
      </c>
      <c r="C301">
        <v>126</v>
      </c>
      <c r="D301">
        <v>460</v>
      </c>
      <c r="E301">
        <v>10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35">
      <c r="A302" t="s">
        <v>133</v>
      </c>
      <c r="B302">
        <v>1</v>
      </c>
      <c r="C302">
        <v>45</v>
      </c>
      <c r="D302">
        <v>45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35">
      <c r="A303" t="s">
        <v>132</v>
      </c>
      <c r="B303">
        <v>2</v>
      </c>
      <c r="C303">
        <v>51</v>
      </c>
      <c r="D303">
        <v>56</v>
      </c>
      <c r="E303">
        <v>2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35">
      <c r="A304" t="s">
        <v>132</v>
      </c>
      <c r="B304">
        <v>2</v>
      </c>
      <c r="C304">
        <v>51</v>
      </c>
      <c r="D304">
        <v>56</v>
      </c>
      <c r="E304">
        <v>2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35">
      <c r="A305" t="s">
        <v>132</v>
      </c>
      <c r="B305">
        <v>2</v>
      </c>
      <c r="C305">
        <v>51</v>
      </c>
      <c r="D305">
        <v>56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35">
      <c r="A306" t="s">
        <v>133</v>
      </c>
      <c r="B306">
        <v>1</v>
      </c>
      <c r="C306">
        <v>45</v>
      </c>
      <c r="D306">
        <v>45</v>
      </c>
      <c r="E306">
        <v>1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35">
      <c r="A307" t="s">
        <v>132</v>
      </c>
      <c r="B307">
        <v>2</v>
      </c>
      <c r="C307">
        <v>43</v>
      </c>
      <c r="D307">
        <v>51</v>
      </c>
      <c r="E307">
        <v>2</v>
      </c>
      <c r="F307">
        <v>2</v>
      </c>
      <c r="G307" t="b">
        <v>1</v>
      </c>
      <c r="H307" t="b">
        <v>1</v>
      </c>
      <c r="I307" t="b">
        <v>1</v>
      </c>
    </row>
    <row r="308" spans="1:9" x14ac:dyDescent="0.35">
      <c r="A308" t="s">
        <v>133</v>
      </c>
      <c r="B308">
        <v>1</v>
      </c>
      <c r="C308">
        <v>37</v>
      </c>
      <c r="D308">
        <v>41</v>
      </c>
      <c r="E308">
        <v>1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35">
      <c r="A309" t="s">
        <v>136</v>
      </c>
      <c r="B309">
        <v>2</v>
      </c>
      <c r="C309">
        <v>2</v>
      </c>
      <c r="D309">
        <v>3</v>
      </c>
      <c r="E309">
        <v>7</v>
      </c>
      <c r="F309">
        <v>2</v>
      </c>
      <c r="G309" t="b">
        <v>1</v>
      </c>
      <c r="H309" t="b">
        <v>1</v>
      </c>
      <c r="I309" t="b">
        <v>1</v>
      </c>
    </row>
    <row r="310" spans="1:9" x14ac:dyDescent="0.35">
      <c r="A310" t="s">
        <v>133</v>
      </c>
      <c r="B310">
        <v>1</v>
      </c>
      <c r="C310">
        <v>45</v>
      </c>
      <c r="D310">
        <v>45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35">
      <c r="A311" t="s">
        <v>133</v>
      </c>
      <c r="B311">
        <v>1</v>
      </c>
      <c r="C311">
        <v>45</v>
      </c>
      <c r="D311">
        <v>45</v>
      </c>
      <c r="E311">
        <v>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35">
      <c r="A312" t="s">
        <v>132</v>
      </c>
      <c r="B312">
        <v>2</v>
      </c>
      <c r="C312">
        <v>35</v>
      </c>
      <c r="D312">
        <v>46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35">
      <c r="A313" t="s">
        <v>35</v>
      </c>
      <c r="B313">
        <v>3</v>
      </c>
      <c r="C313">
        <v>3</v>
      </c>
      <c r="D313">
        <v>4</v>
      </c>
      <c r="E313">
        <v>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35">
      <c r="A314" t="s">
        <v>140</v>
      </c>
      <c r="B314">
        <v>1</v>
      </c>
      <c r="C314">
        <v>4</v>
      </c>
      <c r="D314">
        <v>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35">
      <c r="A315" t="s">
        <v>137</v>
      </c>
      <c r="B315">
        <v>3</v>
      </c>
      <c r="C315">
        <v>3</v>
      </c>
      <c r="D315">
        <v>4</v>
      </c>
      <c r="E315">
        <v>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35">
      <c r="A316" t="s">
        <v>278</v>
      </c>
      <c r="B316">
        <v>1</v>
      </c>
      <c r="C316">
        <v>86</v>
      </c>
      <c r="D316">
        <v>26</v>
      </c>
      <c r="E316">
        <v>3</v>
      </c>
      <c r="F316">
        <v>2</v>
      </c>
      <c r="G316" t="b">
        <v>0</v>
      </c>
      <c r="H316" t="b">
        <v>0</v>
      </c>
      <c r="I316" t="b">
        <v>1</v>
      </c>
    </row>
    <row r="317" spans="1:9" x14ac:dyDescent="0.35">
      <c r="A317" t="s">
        <v>221</v>
      </c>
      <c r="B317">
        <v>3</v>
      </c>
      <c r="C317">
        <v>8</v>
      </c>
      <c r="D317">
        <v>25</v>
      </c>
      <c r="E317">
        <v>1</v>
      </c>
      <c r="F317">
        <v>3</v>
      </c>
      <c r="G317" t="b">
        <v>0</v>
      </c>
      <c r="H317" t="b">
        <v>0</v>
      </c>
      <c r="I317" t="b">
        <v>1</v>
      </c>
    </row>
    <row r="318" spans="1:9" x14ac:dyDescent="0.35">
      <c r="A318" t="s">
        <v>139</v>
      </c>
      <c r="B318">
        <v>5</v>
      </c>
      <c r="C318">
        <v>4</v>
      </c>
      <c r="D318">
        <v>3</v>
      </c>
      <c r="E318">
        <v>6</v>
      </c>
      <c r="F318">
        <v>200021</v>
      </c>
      <c r="G318" t="b">
        <v>1</v>
      </c>
      <c r="H318" t="b">
        <v>1</v>
      </c>
      <c r="I318" t="b">
        <v>1</v>
      </c>
    </row>
    <row r="319" spans="1:9" x14ac:dyDescent="0.35">
      <c r="A319" t="s">
        <v>137</v>
      </c>
      <c r="B319">
        <v>5</v>
      </c>
      <c r="C319">
        <v>9</v>
      </c>
      <c r="D319">
        <v>3</v>
      </c>
      <c r="E319">
        <v>5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35">
      <c r="A320" t="s">
        <v>222</v>
      </c>
      <c r="B320">
        <v>2</v>
      </c>
      <c r="C320">
        <v>1</v>
      </c>
      <c r="D320">
        <v>4</v>
      </c>
      <c r="E320">
        <v>2</v>
      </c>
      <c r="F320">
        <v>11</v>
      </c>
      <c r="G320" t="b">
        <v>0</v>
      </c>
      <c r="H320" t="b">
        <v>0</v>
      </c>
      <c r="I320" t="b">
        <v>1</v>
      </c>
    </row>
    <row r="321" spans="1:9" x14ac:dyDescent="0.35">
      <c r="A321" t="s">
        <v>223</v>
      </c>
      <c r="B321">
        <v>1</v>
      </c>
      <c r="C321">
        <v>1</v>
      </c>
      <c r="D321">
        <v>4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35">
      <c r="A322" t="s">
        <v>137</v>
      </c>
      <c r="B322">
        <v>3</v>
      </c>
      <c r="C322">
        <v>3</v>
      </c>
      <c r="D322">
        <v>3</v>
      </c>
      <c r="E322">
        <v>3</v>
      </c>
      <c r="F322">
        <v>3</v>
      </c>
      <c r="G322" t="b">
        <v>1</v>
      </c>
      <c r="H322" t="b">
        <v>1</v>
      </c>
      <c r="I322" t="b">
        <v>1</v>
      </c>
    </row>
    <row r="323" spans="1:9" x14ac:dyDescent="0.35">
      <c r="A323" t="s">
        <v>139</v>
      </c>
      <c r="B323">
        <v>3</v>
      </c>
      <c r="C323">
        <v>2</v>
      </c>
      <c r="D323">
        <v>3</v>
      </c>
      <c r="E323">
        <v>4</v>
      </c>
      <c r="F323">
        <v>200021</v>
      </c>
      <c r="G323" t="b">
        <v>1</v>
      </c>
      <c r="H323" t="b">
        <v>1</v>
      </c>
      <c r="I323" t="b">
        <v>1</v>
      </c>
    </row>
    <row r="324" spans="1:9" x14ac:dyDescent="0.35">
      <c r="A324" t="s">
        <v>137</v>
      </c>
      <c r="B324">
        <v>1</v>
      </c>
      <c r="C324">
        <v>89</v>
      </c>
      <c r="D324">
        <v>30</v>
      </c>
      <c r="E324">
        <v>10</v>
      </c>
      <c r="F324">
        <v>2</v>
      </c>
      <c r="G324" t="b">
        <v>0</v>
      </c>
      <c r="H324" t="b">
        <v>0</v>
      </c>
      <c r="I324" t="b">
        <v>1</v>
      </c>
    </row>
    <row r="325" spans="1:9" x14ac:dyDescent="0.35">
      <c r="A325" t="s">
        <v>221</v>
      </c>
      <c r="B325">
        <v>3</v>
      </c>
      <c r="C325">
        <v>8</v>
      </c>
      <c r="D325">
        <v>25</v>
      </c>
      <c r="E325">
        <v>1</v>
      </c>
      <c r="F325">
        <v>3</v>
      </c>
      <c r="G325" t="b">
        <v>0</v>
      </c>
      <c r="H325" t="b">
        <v>0</v>
      </c>
      <c r="I325" t="b">
        <v>1</v>
      </c>
    </row>
    <row r="326" spans="1:9" x14ac:dyDescent="0.35">
      <c r="A326" t="s">
        <v>137</v>
      </c>
      <c r="B326">
        <v>2</v>
      </c>
      <c r="C326">
        <v>2</v>
      </c>
      <c r="D326">
        <v>3</v>
      </c>
      <c r="E326">
        <v>5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35">
      <c r="A327" t="s">
        <v>140</v>
      </c>
      <c r="B327">
        <v>1</v>
      </c>
      <c r="C327">
        <v>4</v>
      </c>
      <c r="D327">
        <v>1</v>
      </c>
      <c r="E327">
        <v>1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35">
      <c r="A328" t="s">
        <v>143</v>
      </c>
      <c r="B328">
        <v>1</v>
      </c>
      <c r="C328">
        <v>1</v>
      </c>
      <c r="D328">
        <v>1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35">
      <c r="A329" t="s">
        <v>143</v>
      </c>
      <c r="B329">
        <v>1</v>
      </c>
      <c r="C329">
        <v>1</v>
      </c>
      <c r="D329">
        <v>1</v>
      </c>
      <c r="E329">
        <v>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35">
      <c r="A330" t="s">
        <v>144</v>
      </c>
      <c r="B330">
        <v>2</v>
      </c>
      <c r="C330">
        <v>5</v>
      </c>
      <c r="D330">
        <v>5</v>
      </c>
      <c r="E330">
        <v>2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35">
      <c r="A331" t="s">
        <v>144</v>
      </c>
      <c r="B331">
        <v>2</v>
      </c>
      <c r="C331">
        <v>5</v>
      </c>
      <c r="D331">
        <v>5</v>
      </c>
      <c r="E331">
        <v>2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35">
      <c r="A332" t="s">
        <v>143</v>
      </c>
      <c r="B332">
        <v>1</v>
      </c>
      <c r="C332">
        <v>1</v>
      </c>
      <c r="D332">
        <v>1</v>
      </c>
      <c r="E332">
        <v>1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35">
      <c r="A333" t="s">
        <v>143</v>
      </c>
      <c r="B333">
        <v>1</v>
      </c>
      <c r="C333">
        <v>1</v>
      </c>
      <c r="D333">
        <v>1</v>
      </c>
      <c r="E333">
        <v>1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35">
      <c r="A334" t="s">
        <v>144</v>
      </c>
      <c r="B334">
        <v>2</v>
      </c>
      <c r="C334">
        <v>5</v>
      </c>
      <c r="D334">
        <v>5</v>
      </c>
      <c r="E334">
        <v>2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35">
      <c r="A335" t="s">
        <v>144</v>
      </c>
      <c r="B335">
        <v>2</v>
      </c>
      <c r="C335">
        <v>5</v>
      </c>
      <c r="D335">
        <v>5</v>
      </c>
      <c r="E335">
        <v>2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35">
      <c r="A336" t="s">
        <v>151</v>
      </c>
      <c r="B336">
        <v>3</v>
      </c>
      <c r="C336">
        <v>3</v>
      </c>
      <c r="D336">
        <v>4</v>
      </c>
      <c r="E336">
        <v>6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35">
      <c r="A337" t="s">
        <v>151</v>
      </c>
      <c r="B337">
        <v>3</v>
      </c>
      <c r="C337">
        <v>3</v>
      </c>
      <c r="D337">
        <v>4</v>
      </c>
      <c r="E337">
        <v>6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35">
      <c r="A338" t="s">
        <v>145</v>
      </c>
      <c r="B338">
        <v>1</v>
      </c>
      <c r="C338">
        <v>16</v>
      </c>
      <c r="D338">
        <v>13</v>
      </c>
      <c r="E338">
        <v>5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35">
      <c r="A339" t="s">
        <v>225</v>
      </c>
      <c r="B339">
        <v>1</v>
      </c>
      <c r="C339">
        <v>14</v>
      </c>
      <c r="D339">
        <v>63</v>
      </c>
      <c r="E339">
        <v>8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35">
      <c r="A340" t="s">
        <v>145</v>
      </c>
      <c r="B340">
        <v>1</v>
      </c>
      <c r="C340">
        <v>16</v>
      </c>
      <c r="D340">
        <v>13</v>
      </c>
      <c r="E340">
        <v>5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35">
      <c r="A341" t="s">
        <v>224</v>
      </c>
      <c r="B341">
        <v>1</v>
      </c>
      <c r="C341">
        <v>2</v>
      </c>
      <c r="D341">
        <v>1</v>
      </c>
      <c r="E341">
        <v>6</v>
      </c>
      <c r="F341">
        <v>2</v>
      </c>
      <c r="G341" t="b">
        <v>0</v>
      </c>
      <c r="H341" t="b">
        <v>0</v>
      </c>
      <c r="I341" t="b">
        <v>1</v>
      </c>
    </row>
    <row r="342" spans="1:9" x14ac:dyDescent="0.35">
      <c r="A342" t="s">
        <v>146</v>
      </c>
      <c r="B342">
        <v>2</v>
      </c>
      <c r="C342">
        <v>23</v>
      </c>
      <c r="D342">
        <v>21</v>
      </c>
      <c r="E342">
        <v>10</v>
      </c>
      <c r="F342">
        <v>2</v>
      </c>
      <c r="G342" t="b">
        <v>1</v>
      </c>
      <c r="H342" t="b">
        <v>1</v>
      </c>
      <c r="I342" t="b">
        <v>1</v>
      </c>
    </row>
    <row r="343" spans="1:9" x14ac:dyDescent="0.35">
      <c r="A343" t="s">
        <v>147</v>
      </c>
      <c r="B343">
        <v>10</v>
      </c>
      <c r="C343">
        <v>26</v>
      </c>
      <c r="D343">
        <v>14</v>
      </c>
      <c r="E343">
        <v>5</v>
      </c>
      <c r="F343">
        <v>100021</v>
      </c>
      <c r="G343" t="b">
        <v>1</v>
      </c>
      <c r="H343" t="b">
        <v>1</v>
      </c>
      <c r="I343" t="b">
        <v>1</v>
      </c>
    </row>
    <row r="344" spans="1:9" x14ac:dyDescent="0.35">
      <c r="A344" t="s">
        <v>145</v>
      </c>
      <c r="B344">
        <v>1</v>
      </c>
      <c r="C344">
        <v>16</v>
      </c>
      <c r="D344">
        <v>13</v>
      </c>
      <c r="E344">
        <v>5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35">
      <c r="A345" t="s">
        <v>149</v>
      </c>
      <c r="B345">
        <v>1</v>
      </c>
      <c r="C345">
        <v>40</v>
      </c>
      <c r="D345">
        <v>22</v>
      </c>
      <c r="E345">
        <v>18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35">
      <c r="A346" t="s">
        <v>151</v>
      </c>
      <c r="B346">
        <v>4</v>
      </c>
      <c r="C346">
        <v>4</v>
      </c>
      <c r="D346">
        <v>5</v>
      </c>
      <c r="E346">
        <v>10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35">
      <c r="A347" t="s">
        <v>151</v>
      </c>
      <c r="B347">
        <v>5</v>
      </c>
      <c r="C347">
        <v>5</v>
      </c>
      <c r="D347">
        <v>6</v>
      </c>
      <c r="E347">
        <v>10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35">
      <c r="A348" t="s">
        <v>151</v>
      </c>
      <c r="B348">
        <v>4</v>
      </c>
      <c r="C348">
        <v>4</v>
      </c>
      <c r="D348">
        <v>5</v>
      </c>
      <c r="E348">
        <v>10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35">
      <c r="A349" t="s">
        <v>149</v>
      </c>
      <c r="B349">
        <v>1</v>
      </c>
      <c r="C349">
        <v>4</v>
      </c>
      <c r="D349">
        <v>18</v>
      </c>
      <c r="E349">
        <v>12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35">
      <c r="A350" t="s">
        <v>145</v>
      </c>
      <c r="B350">
        <v>1</v>
      </c>
      <c r="C350">
        <v>24</v>
      </c>
      <c r="D350">
        <v>15</v>
      </c>
      <c r="E350">
        <v>1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35">
      <c r="A351" t="s">
        <v>145</v>
      </c>
      <c r="B351">
        <v>1</v>
      </c>
      <c r="C351">
        <v>24</v>
      </c>
      <c r="D351">
        <v>15</v>
      </c>
      <c r="E351">
        <v>1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35">
      <c r="A352" t="s">
        <v>145</v>
      </c>
      <c r="B352">
        <v>1</v>
      </c>
      <c r="C352">
        <v>21</v>
      </c>
      <c r="D352">
        <v>15</v>
      </c>
      <c r="E352">
        <v>7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35">
      <c r="A353" t="s">
        <v>160</v>
      </c>
      <c r="B353">
        <v>2</v>
      </c>
      <c r="C353">
        <v>27</v>
      </c>
      <c r="D353">
        <v>25</v>
      </c>
      <c r="E353">
        <v>8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35">
      <c r="A354" t="s">
        <v>161</v>
      </c>
      <c r="B354">
        <v>3</v>
      </c>
      <c r="C354">
        <v>34</v>
      </c>
      <c r="D354">
        <v>22</v>
      </c>
      <c r="E354">
        <v>6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35">
      <c r="A355" t="s">
        <v>160</v>
      </c>
      <c r="B355">
        <v>2</v>
      </c>
      <c r="C355">
        <v>27</v>
      </c>
      <c r="D355">
        <v>25</v>
      </c>
      <c r="E355">
        <v>8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35">
      <c r="A356" t="s">
        <v>147</v>
      </c>
      <c r="B356">
        <v>6</v>
      </c>
      <c r="C356">
        <v>37</v>
      </c>
      <c r="D356">
        <v>26</v>
      </c>
      <c r="E356">
        <v>7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35">
      <c r="A357" t="s">
        <v>158</v>
      </c>
      <c r="B357">
        <v>8</v>
      </c>
      <c r="C357">
        <v>8</v>
      </c>
      <c r="D357">
        <v>10</v>
      </c>
      <c r="E357">
        <v>12</v>
      </c>
      <c r="F357">
        <v>2</v>
      </c>
      <c r="G357" t="b">
        <v>1</v>
      </c>
      <c r="H357" t="b">
        <v>1</v>
      </c>
      <c r="I357" t="b">
        <v>1</v>
      </c>
    </row>
    <row r="358" spans="1:9" x14ac:dyDescent="0.35">
      <c r="A358" t="s">
        <v>225</v>
      </c>
      <c r="B358">
        <v>1</v>
      </c>
      <c r="C358">
        <v>14</v>
      </c>
      <c r="D358">
        <v>138</v>
      </c>
      <c r="E358">
        <v>12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35">
      <c r="A359" t="s">
        <v>145</v>
      </c>
      <c r="B359">
        <v>1</v>
      </c>
      <c r="C359">
        <v>24</v>
      </c>
      <c r="D359">
        <v>15</v>
      </c>
      <c r="E359">
        <v>1</v>
      </c>
      <c r="F359">
        <v>1</v>
      </c>
      <c r="G359" t="b">
        <v>0</v>
      </c>
      <c r="H359" t="b">
        <v>0</v>
      </c>
      <c r="I359" t="b">
        <v>1</v>
      </c>
    </row>
    <row r="360" spans="1:9" x14ac:dyDescent="0.35">
      <c r="A360" t="s">
        <v>145</v>
      </c>
      <c r="B360">
        <v>1</v>
      </c>
      <c r="C360">
        <v>24</v>
      </c>
      <c r="D360">
        <v>15</v>
      </c>
      <c r="E360">
        <v>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35">
      <c r="A361" t="s">
        <v>149</v>
      </c>
      <c r="B361">
        <v>1</v>
      </c>
      <c r="C361">
        <v>54</v>
      </c>
      <c r="D361">
        <v>48</v>
      </c>
      <c r="E361">
        <v>21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35">
      <c r="A362" t="s">
        <v>225</v>
      </c>
      <c r="B362">
        <v>1</v>
      </c>
      <c r="C362">
        <v>14</v>
      </c>
      <c r="D362">
        <v>138</v>
      </c>
      <c r="E362">
        <v>12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35">
      <c r="A363" t="s">
        <v>152</v>
      </c>
      <c r="B363">
        <v>2</v>
      </c>
      <c r="C363">
        <v>29</v>
      </c>
      <c r="D363">
        <v>48</v>
      </c>
      <c r="E363">
        <v>13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35">
      <c r="A364" t="s">
        <v>145</v>
      </c>
      <c r="B364">
        <v>1</v>
      </c>
      <c r="C364">
        <v>24</v>
      </c>
      <c r="D364">
        <v>15</v>
      </c>
      <c r="E364">
        <v>1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35">
      <c r="A365" t="s">
        <v>156</v>
      </c>
      <c r="B365">
        <v>1</v>
      </c>
      <c r="C365">
        <v>20</v>
      </c>
      <c r="D365">
        <v>15</v>
      </c>
      <c r="E365">
        <v>1</v>
      </c>
      <c r="F365">
        <v>2</v>
      </c>
      <c r="G365" t="b">
        <v>0</v>
      </c>
      <c r="H365" t="b">
        <v>0</v>
      </c>
      <c r="I365" t="b">
        <v>1</v>
      </c>
    </row>
    <row r="366" spans="1:9" x14ac:dyDescent="0.35">
      <c r="A366" t="s">
        <v>149</v>
      </c>
      <c r="B366">
        <v>1</v>
      </c>
      <c r="C366">
        <v>12</v>
      </c>
      <c r="D366">
        <v>18</v>
      </c>
      <c r="E366">
        <v>13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35">
      <c r="A367" t="s">
        <v>157</v>
      </c>
      <c r="B367">
        <v>10</v>
      </c>
      <c r="C367">
        <v>10</v>
      </c>
      <c r="D367">
        <v>12</v>
      </c>
      <c r="E367">
        <v>2</v>
      </c>
      <c r="F367">
        <v>2</v>
      </c>
      <c r="G367" t="b">
        <v>1</v>
      </c>
      <c r="H367" t="b">
        <v>1</v>
      </c>
      <c r="I367" t="b">
        <v>1</v>
      </c>
    </row>
    <row r="368" spans="1:9" x14ac:dyDescent="0.35">
      <c r="A368" t="s">
        <v>156</v>
      </c>
      <c r="B368">
        <v>1</v>
      </c>
      <c r="C368">
        <v>23</v>
      </c>
      <c r="D368">
        <v>17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35">
      <c r="A369" t="s">
        <v>162</v>
      </c>
      <c r="B369">
        <v>5</v>
      </c>
      <c r="C369">
        <v>5</v>
      </c>
      <c r="D369">
        <v>7</v>
      </c>
      <c r="E369">
        <v>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35">
      <c r="A370" t="s">
        <v>156</v>
      </c>
      <c r="B370">
        <v>1</v>
      </c>
      <c r="C370">
        <v>19</v>
      </c>
      <c r="D370">
        <v>15</v>
      </c>
      <c r="E370">
        <v>1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35">
      <c r="A371" t="s">
        <v>149</v>
      </c>
      <c r="B371">
        <v>1</v>
      </c>
      <c r="C371">
        <v>21</v>
      </c>
      <c r="D371">
        <v>42</v>
      </c>
      <c r="E371">
        <v>15</v>
      </c>
      <c r="F371">
        <v>2</v>
      </c>
      <c r="G371" t="b">
        <v>0</v>
      </c>
      <c r="H371" t="b">
        <v>0</v>
      </c>
      <c r="I371" t="b">
        <v>1</v>
      </c>
    </row>
    <row r="372" spans="1:9" x14ac:dyDescent="0.35">
      <c r="A372" t="s">
        <v>156</v>
      </c>
      <c r="B372">
        <v>1</v>
      </c>
      <c r="C372">
        <v>19</v>
      </c>
      <c r="D372">
        <v>15</v>
      </c>
      <c r="E372">
        <v>1</v>
      </c>
      <c r="F372">
        <v>1</v>
      </c>
      <c r="G372" t="b">
        <v>0</v>
      </c>
      <c r="H372" t="b">
        <v>0</v>
      </c>
      <c r="I372" t="b">
        <v>1</v>
      </c>
    </row>
    <row r="373" spans="1:9" x14ac:dyDescent="0.35">
      <c r="A373" t="s">
        <v>145</v>
      </c>
      <c r="B373">
        <v>1</v>
      </c>
      <c r="C373">
        <v>24</v>
      </c>
      <c r="D373">
        <v>15</v>
      </c>
      <c r="E373">
        <v>1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35">
      <c r="A374" t="s">
        <v>149</v>
      </c>
      <c r="B374">
        <v>1</v>
      </c>
      <c r="C374">
        <v>42</v>
      </c>
      <c r="D374">
        <v>44</v>
      </c>
      <c r="E374">
        <v>17</v>
      </c>
      <c r="F374">
        <v>1</v>
      </c>
      <c r="G374" t="b">
        <v>0</v>
      </c>
      <c r="H374" t="b">
        <v>0</v>
      </c>
      <c r="I374" t="b">
        <v>1</v>
      </c>
    </row>
    <row r="375" spans="1:9" x14ac:dyDescent="0.35">
      <c r="A375" t="s">
        <v>158</v>
      </c>
      <c r="B375">
        <v>1</v>
      </c>
      <c r="C375">
        <v>2</v>
      </c>
      <c r="D375">
        <v>1</v>
      </c>
      <c r="E375">
        <v>15</v>
      </c>
      <c r="F375">
        <v>2</v>
      </c>
      <c r="G375" t="b">
        <v>0</v>
      </c>
      <c r="H375" t="b">
        <v>0</v>
      </c>
      <c r="I375" t="b">
        <v>1</v>
      </c>
    </row>
    <row r="376" spans="1:9" x14ac:dyDescent="0.35">
      <c r="A376" t="s">
        <v>154</v>
      </c>
      <c r="B376">
        <v>2</v>
      </c>
      <c r="C376">
        <v>30</v>
      </c>
      <c r="D376">
        <v>25</v>
      </c>
      <c r="E376">
        <v>16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35">
      <c r="A377" t="s">
        <v>151</v>
      </c>
      <c r="B377">
        <v>4</v>
      </c>
      <c r="C377">
        <v>4</v>
      </c>
      <c r="D377">
        <v>5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35">
      <c r="A378" t="s">
        <v>151</v>
      </c>
      <c r="B378">
        <v>5</v>
      </c>
      <c r="C378">
        <v>5</v>
      </c>
      <c r="D378">
        <v>6</v>
      </c>
      <c r="E378">
        <v>10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35">
      <c r="A379" t="s">
        <v>151</v>
      </c>
      <c r="B379">
        <v>4</v>
      </c>
      <c r="C379">
        <v>4</v>
      </c>
      <c r="D379">
        <v>5</v>
      </c>
      <c r="E379">
        <v>10</v>
      </c>
      <c r="F379">
        <v>2</v>
      </c>
      <c r="G379" t="b">
        <v>1</v>
      </c>
      <c r="H379" t="b">
        <v>1</v>
      </c>
      <c r="I379" t="b">
        <v>1</v>
      </c>
    </row>
    <row r="380" spans="1:9" x14ac:dyDescent="0.35">
      <c r="A380" t="s">
        <v>149</v>
      </c>
      <c r="B380">
        <v>1</v>
      </c>
      <c r="C380">
        <v>6</v>
      </c>
      <c r="D380">
        <v>18</v>
      </c>
      <c r="E380">
        <v>13</v>
      </c>
      <c r="F380">
        <v>2</v>
      </c>
      <c r="G380" t="b">
        <v>0</v>
      </c>
      <c r="H380" t="b">
        <v>0</v>
      </c>
      <c r="I380" t="b">
        <v>1</v>
      </c>
    </row>
    <row r="381" spans="1:9" x14ac:dyDescent="0.35">
      <c r="A381" t="s">
        <v>149</v>
      </c>
      <c r="B381">
        <v>1</v>
      </c>
      <c r="C381">
        <v>6</v>
      </c>
      <c r="D381">
        <v>18</v>
      </c>
      <c r="E381">
        <v>13</v>
      </c>
      <c r="F381">
        <v>2</v>
      </c>
      <c r="G381" t="b">
        <v>0</v>
      </c>
      <c r="H381" t="b">
        <v>0</v>
      </c>
      <c r="I381" t="b">
        <v>1</v>
      </c>
    </row>
    <row r="382" spans="1:9" x14ac:dyDescent="0.35">
      <c r="A382" t="s">
        <v>156</v>
      </c>
      <c r="B382">
        <v>1</v>
      </c>
      <c r="C382">
        <v>23</v>
      </c>
      <c r="D382">
        <v>17</v>
      </c>
      <c r="E382">
        <v>1</v>
      </c>
      <c r="F382">
        <v>1</v>
      </c>
      <c r="G382" t="b">
        <v>0</v>
      </c>
      <c r="H382" t="b">
        <v>0</v>
      </c>
      <c r="I382" t="b">
        <v>1</v>
      </c>
    </row>
    <row r="383" spans="1:9" x14ac:dyDescent="0.35">
      <c r="A383" t="s">
        <v>163</v>
      </c>
      <c r="B383">
        <v>1</v>
      </c>
      <c r="C383">
        <v>8</v>
      </c>
      <c r="D383">
        <v>84</v>
      </c>
      <c r="E383">
        <v>7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35">
      <c r="A384" t="s">
        <v>156</v>
      </c>
      <c r="B384">
        <v>1</v>
      </c>
      <c r="C384">
        <v>24</v>
      </c>
      <c r="D384">
        <v>17</v>
      </c>
      <c r="E384">
        <v>1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35">
      <c r="A385" t="s">
        <v>145</v>
      </c>
      <c r="B385">
        <v>1</v>
      </c>
      <c r="C385">
        <v>24</v>
      </c>
      <c r="D385">
        <v>15</v>
      </c>
      <c r="E385">
        <v>1</v>
      </c>
      <c r="F385">
        <v>1</v>
      </c>
      <c r="G385" t="b">
        <v>0</v>
      </c>
      <c r="H385" t="b">
        <v>0</v>
      </c>
      <c r="I385" t="b">
        <v>1</v>
      </c>
    </row>
    <row r="386" spans="1:9" x14ac:dyDescent="0.35">
      <c r="A386" t="s">
        <v>145</v>
      </c>
      <c r="B386">
        <v>1</v>
      </c>
      <c r="C386">
        <v>24</v>
      </c>
      <c r="D386">
        <v>15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35">
      <c r="A387" t="s">
        <v>145</v>
      </c>
      <c r="B387">
        <v>1</v>
      </c>
      <c r="C387">
        <v>21</v>
      </c>
      <c r="D387">
        <v>15</v>
      </c>
      <c r="E387">
        <v>7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35">
      <c r="A388" t="s">
        <v>156</v>
      </c>
      <c r="B388">
        <v>1</v>
      </c>
      <c r="C388">
        <v>23</v>
      </c>
      <c r="D388">
        <v>17</v>
      </c>
      <c r="E388">
        <v>1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35">
      <c r="A389" t="s">
        <v>149</v>
      </c>
      <c r="B389">
        <v>1</v>
      </c>
      <c r="C389">
        <v>31</v>
      </c>
      <c r="D389">
        <v>19</v>
      </c>
      <c r="E389">
        <v>13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35">
      <c r="A390" t="s">
        <v>156</v>
      </c>
      <c r="B390">
        <v>1</v>
      </c>
      <c r="C390">
        <v>23</v>
      </c>
      <c r="D390">
        <v>17</v>
      </c>
      <c r="E390">
        <v>1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35">
      <c r="A391" t="s">
        <v>149</v>
      </c>
      <c r="B391">
        <v>1</v>
      </c>
      <c r="C391">
        <v>31</v>
      </c>
      <c r="D391">
        <v>19</v>
      </c>
      <c r="E391">
        <v>13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35">
      <c r="A392" t="s">
        <v>158</v>
      </c>
      <c r="B392">
        <v>8</v>
      </c>
      <c r="C392">
        <v>8</v>
      </c>
      <c r="D392">
        <v>10</v>
      </c>
      <c r="E392">
        <v>12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35">
      <c r="A393" t="s">
        <v>225</v>
      </c>
      <c r="B393">
        <v>1</v>
      </c>
      <c r="C393">
        <v>14</v>
      </c>
      <c r="D393">
        <v>138</v>
      </c>
      <c r="E393">
        <v>12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35">
      <c r="A394" t="s">
        <v>145</v>
      </c>
      <c r="B394">
        <v>1</v>
      </c>
      <c r="C394">
        <v>24</v>
      </c>
      <c r="D394">
        <v>15</v>
      </c>
      <c r="E394">
        <v>1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35">
      <c r="A395" t="s">
        <v>145</v>
      </c>
      <c r="B395">
        <v>1</v>
      </c>
      <c r="C395">
        <v>24</v>
      </c>
      <c r="D395">
        <v>15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35">
      <c r="A396" t="s">
        <v>225</v>
      </c>
      <c r="B396">
        <v>1</v>
      </c>
      <c r="C396">
        <v>24</v>
      </c>
      <c r="D396">
        <v>148</v>
      </c>
      <c r="E396">
        <v>13</v>
      </c>
      <c r="F396">
        <v>1</v>
      </c>
      <c r="G396" t="b">
        <v>0</v>
      </c>
      <c r="H396" t="b">
        <v>0</v>
      </c>
      <c r="I396" t="b">
        <v>1</v>
      </c>
    </row>
    <row r="397" spans="1:9" x14ac:dyDescent="0.35">
      <c r="A397" t="s">
        <v>225</v>
      </c>
      <c r="B397">
        <v>1</v>
      </c>
      <c r="C397">
        <v>24</v>
      </c>
      <c r="D397">
        <v>148</v>
      </c>
      <c r="E397">
        <v>13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35">
      <c r="A398" t="s">
        <v>160</v>
      </c>
      <c r="B398">
        <v>2</v>
      </c>
      <c r="C398">
        <v>28</v>
      </c>
      <c r="D398">
        <v>25</v>
      </c>
      <c r="E398">
        <v>8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35">
      <c r="A399" t="s">
        <v>161</v>
      </c>
      <c r="B399">
        <v>3</v>
      </c>
      <c r="C399">
        <v>42</v>
      </c>
      <c r="D399">
        <v>22</v>
      </c>
      <c r="E399">
        <v>7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35">
      <c r="A400" t="s">
        <v>157</v>
      </c>
      <c r="B400">
        <v>10</v>
      </c>
      <c r="C400">
        <v>10</v>
      </c>
      <c r="D400">
        <v>12</v>
      </c>
      <c r="E400">
        <v>2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35">
      <c r="A401" t="s">
        <v>156</v>
      </c>
      <c r="B401">
        <v>1</v>
      </c>
      <c r="C401">
        <v>23</v>
      </c>
      <c r="D401">
        <v>17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35">
      <c r="A402" t="s">
        <v>156</v>
      </c>
      <c r="B402">
        <v>1</v>
      </c>
      <c r="C402">
        <v>19</v>
      </c>
      <c r="D402">
        <v>15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35">
      <c r="A403" t="s">
        <v>149</v>
      </c>
      <c r="B403">
        <v>1</v>
      </c>
      <c r="C403">
        <v>21</v>
      </c>
      <c r="D403">
        <v>42</v>
      </c>
      <c r="E403">
        <v>15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35">
      <c r="A404" t="s">
        <v>156</v>
      </c>
      <c r="B404">
        <v>1</v>
      </c>
      <c r="C404">
        <v>19</v>
      </c>
      <c r="D404">
        <v>15</v>
      </c>
      <c r="E404">
        <v>1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35">
      <c r="A405" t="s">
        <v>162</v>
      </c>
      <c r="B405">
        <v>5</v>
      </c>
      <c r="C405">
        <v>5</v>
      </c>
      <c r="D405">
        <v>7</v>
      </c>
      <c r="E405">
        <v>7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35">
      <c r="A406" t="s">
        <v>145</v>
      </c>
      <c r="B406">
        <v>1</v>
      </c>
      <c r="C406">
        <v>24</v>
      </c>
      <c r="D406">
        <v>15</v>
      </c>
      <c r="E406">
        <v>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35">
      <c r="A407" t="s">
        <v>149</v>
      </c>
      <c r="B407">
        <v>1</v>
      </c>
      <c r="C407">
        <v>42</v>
      </c>
      <c r="D407">
        <v>44</v>
      </c>
      <c r="E407">
        <v>17</v>
      </c>
      <c r="F407">
        <v>1</v>
      </c>
      <c r="G407" t="b">
        <v>0</v>
      </c>
      <c r="H407" t="b">
        <v>0</v>
      </c>
      <c r="I407" t="b">
        <v>1</v>
      </c>
    </row>
    <row r="408" spans="1:9" x14ac:dyDescent="0.35">
      <c r="A408" t="s">
        <v>158</v>
      </c>
      <c r="B408">
        <v>1</v>
      </c>
      <c r="C408">
        <v>2</v>
      </c>
      <c r="D408">
        <v>1</v>
      </c>
      <c r="E408">
        <v>15</v>
      </c>
      <c r="F408">
        <v>2</v>
      </c>
      <c r="G408" t="b">
        <v>0</v>
      </c>
      <c r="H408" t="b">
        <v>0</v>
      </c>
      <c r="I408" t="b">
        <v>1</v>
      </c>
    </row>
    <row r="409" spans="1:9" x14ac:dyDescent="0.35">
      <c r="A409" t="s">
        <v>154</v>
      </c>
      <c r="B409">
        <v>2</v>
      </c>
      <c r="C409">
        <v>30</v>
      </c>
      <c r="D409">
        <v>25</v>
      </c>
      <c r="E409">
        <v>16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35">
      <c r="A410" t="s">
        <v>165</v>
      </c>
      <c r="B410">
        <v>7</v>
      </c>
      <c r="C410">
        <v>3</v>
      </c>
      <c r="D410">
        <v>2</v>
      </c>
      <c r="E410">
        <v>5</v>
      </c>
      <c r="F410">
        <v>211021</v>
      </c>
      <c r="G410" t="b">
        <v>1</v>
      </c>
      <c r="H410" t="b">
        <v>1</v>
      </c>
      <c r="I410" t="b">
        <v>1</v>
      </c>
    </row>
    <row r="411" spans="1:9" x14ac:dyDescent="0.35">
      <c r="A411" t="s">
        <v>167</v>
      </c>
      <c r="B411">
        <v>2</v>
      </c>
      <c r="C411">
        <v>19</v>
      </c>
      <c r="D411">
        <v>1</v>
      </c>
      <c r="E411">
        <v>2</v>
      </c>
      <c r="F411">
        <v>5</v>
      </c>
      <c r="G411" t="b">
        <v>1</v>
      </c>
      <c r="H411" t="b">
        <v>1</v>
      </c>
      <c r="I411" t="b">
        <v>1</v>
      </c>
    </row>
    <row r="412" spans="1:9" x14ac:dyDescent="0.35">
      <c r="A412" t="s">
        <v>164</v>
      </c>
      <c r="B412">
        <v>2</v>
      </c>
      <c r="C412">
        <v>20</v>
      </c>
      <c r="D412">
        <v>19</v>
      </c>
      <c r="E412">
        <v>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35">
      <c r="A413" t="s">
        <v>166</v>
      </c>
      <c r="B413">
        <v>1</v>
      </c>
      <c r="C413">
        <v>2</v>
      </c>
      <c r="D413">
        <v>1</v>
      </c>
      <c r="E413">
        <v>1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35">
      <c r="A414" t="s">
        <v>179</v>
      </c>
      <c r="B414">
        <v>4</v>
      </c>
      <c r="C414">
        <v>4</v>
      </c>
      <c r="D414">
        <v>5</v>
      </c>
      <c r="E414">
        <v>7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35">
      <c r="A415" t="s">
        <v>54</v>
      </c>
      <c r="B415">
        <v>1</v>
      </c>
      <c r="C415">
        <v>1</v>
      </c>
      <c r="D415">
        <v>12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35">
      <c r="A416" t="s">
        <v>173</v>
      </c>
      <c r="B416">
        <v>1</v>
      </c>
      <c r="C416">
        <v>87</v>
      </c>
      <c r="D416">
        <v>476</v>
      </c>
      <c r="E416">
        <v>15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35">
      <c r="A417" t="s">
        <v>168</v>
      </c>
      <c r="B417">
        <v>1</v>
      </c>
      <c r="C417">
        <v>41</v>
      </c>
      <c r="D417">
        <v>45</v>
      </c>
      <c r="E417">
        <v>3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35">
      <c r="A418" t="s">
        <v>176</v>
      </c>
      <c r="B418">
        <v>3</v>
      </c>
      <c r="C418">
        <v>53</v>
      </c>
      <c r="D418">
        <v>62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35">
      <c r="A419" t="s">
        <v>178</v>
      </c>
      <c r="B419">
        <v>2</v>
      </c>
      <c r="C419">
        <v>2</v>
      </c>
      <c r="D419">
        <v>1</v>
      </c>
      <c r="E419">
        <v>2</v>
      </c>
      <c r="F419">
        <v>6</v>
      </c>
      <c r="G419" t="b">
        <v>1</v>
      </c>
      <c r="H419" t="b">
        <v>1</v>
      </c>
      <c r="I419" t="b">
        <v>1</v>
      </c>
    </row>
    <row r="420" spans="1:9" x14ac:dyDescent="0.35">
      <c r="A420" t="s">
        <v>304</v>
      </c>
      <c r="B420">
        <v>1</v>
      </c>
      <c r="C420">
        <v>22</v>
      </c>
      <c r="D420">
        <v>135</v>
      </c>
      <c r="E420">
        <v>11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35">
      <c r="A421" t="s">
        <v>168</v>
      </c>
      <c r="B421">
        <v>1</v>
      </c>
      <c r="C421">
        <v>41</v>
      </c>
      <c r="D421">
        <v>45</v>
      </c>
      <c r="E421">
        <v>3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35">
      <c r="A422" t="s">
        <v>168</v>
      </c>
      <c r="B422">
        <v>1</v>
      </c>
      <c r="C422">
        <v>41</v>
      </c>
      <c r="D422">
        <v>45</v>
      </c>
      <c r="E422">
        <v>3</v>
      </c>
      <c r="F422">
        <v>2</v>
      </c>
      <c r="G422" t="b">
        <v>0</v>
      </c>
      <c r="H422" t="b">
        <v>0</v>
      </c>
      <c r="I422" t="b">
        <v>1</v>
      </c>
    </row>
    <row r="423" spans="1:9" x14ac:dyDescent="0.35">
      <c r="A423" t="s">
        <v>168</v>
      </c>
      <c r="B423">
        <v>1</v>
      </c>
      <c r="C423">
        <v>41</v>
      </c>
      <c r="D423">
        <v>45</v>
      </c>
      <c r="E423">
        <v>3</v>
      </c>
      <c r="F423">
        <v>1</v>
      </c>
      <c r="G423" t="b">
        <v>0</v>
      </c>
      <c r="H423" t="b">
        <v>0</v>
      </c>
      <c r="I423" t="b">
        <v>1</v>
      </c>
    </row>
    <row r="424" spans="1:9" x14ac:dyDescent="0.35">
      <c r="A424" t="s">
        <v>178</v>
      </c>
      <c r="B424">
        <v>1</v>
      </c>
      <c r="C424">
        <v>82</v>
      </c>
      <c r="D424">
        <v>25</v>
      </c>
      <c r="E424">
        <v>2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35">
      <c r="A425" t="s">
        <v>171</v>
      </c>
      <c r="B425">
        <v>2</v>
      </c>
      <c r="C425">
        <v>49</v>
      </c>
      <c r="D425">
        <v>56</v>
      </c>
      <c r="E425">
        <v>2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35">
      <c r="A426" t="s">
        <v>178</v>
      </c>
      <c r="B426">
        <v>1</v>
      </c>
      <c r="C426">
        <v>82</v>
      </c>
      <c r="D426">
        <v>25</v>
      </c>
      <c r="E426">
        <v>2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35">
      <c r="A427" t="s">
        <v>172</v>
      </c>
      <c r="B427">
        <v>1</v>
      </c>
      <c r="C427">
        <v>3</v>
      </c>
      <c r="D427">
        <v>45</v>
      </c>
      <c r="E427">
        <v>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35">
      <c r="A428" t="s">
        <v>172</v>
      </c>
      <c r="B428">
        <v>1</v>
      </c>
      <c r="C428">
        <v>1</v>
      </c>
      <c r="D428">
        <v>8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35">
      <c r="A429" t="s">
        <v>178</v>
      </c>
      <c r="B429">
        <v>1</v>
      </c>
      <c r="C429">
        <v>28</v>
      </c>
      <c r="D429">
        <v>9</v>
      </c>
      <c r="E429">
        <v>3</v>
      </c>
      <c r="F429">
        <v>2</v>
      </c>
      <c r="G429" t="b">
        <v>0</v>
      </c>
      <c r="H429" t="b">
        <v>0</v>
      </c>
      <c r="I429" t="b">
        <v>1</v>
      </c>
    </row>
    <row r="430" spans="1:9" x14ac:dyDescent="0.35">
      <c r="A430" t="s">
        <v>168</v>
      </c>
      <c r="B430">
        <v>1</v>
      </c>
      <c r="C430">
        <v>41</v>
      </c>
      <c r="D430">
        <v>45</v>
      </c>
      <c r="E430">
        <v>3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35">
      <c r="A431" t="s">
        <v>183</v>
      </c>
      <c r="B431">
        <v>1</v>
      </c>
      <c r="C431">
        <v>9</v>
      </c>
      <c r="D431">
        <v>1</v>
      </c>
      <c r="E431">
        <v>1</v>
      </c>
      <c r="F431">
        <v>2</v>
      </c>
      <c r="G431" t="b">
        <v>1</v>
      </c>
      <c r="H431" t="b">
        <v>1</v>
      </c>
      <c r="I431" t="b">
        <v>1</v>
      </c>
    </row>
    <row r="432" spans="1:9" x14ac:dyDescent="0.35">
      <c r="A432" t="s">
        <v>180</v>
      </c>
      <c r="B432">
        <v>4</v>
      </c>
      <c r="C432">
        <v>57</v>
      </c>
      <c r="D432">
        <v>68</v>
      </c>
      <c r="E432">
        <v>12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35">
      <c r="A433" t="s">
        <v>168</v>
      </c>
      <c r="B433">
        <v>1</v>
      </c>
      <c r="C433">
        <v>41</v>
      </c>
      <c r="D433">
        <v>45</v>
      </c>
      <c r="E433">
        <v>3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35">
      <c r="A434" t="s">
        <v>168</v>
      </c>
      <c r="B434">
        <v>1</v>
      </c>
      <c r="C434">
        <v>41</v>
      </c>
      <c r="D434">
        <v>45</v>
      </c>
      <c r="E434">
        <v>3</v>
      </c>
      <c r="F434">
        <v>2</v>
      </c>
      <c r="G434" t="b">
        <v>1</v>
      </c>
      <c r="H434" t="b">
        <v>1</v>
      </c>
      <c r="I434" t="b">
        <v>1</v>
      </c>
    </row>
    <row r="435" spans="1:9" x14ac:dyDescent="0.35">
      <c r="A435" t="s">
        <v>185</v>
      </c>
      <c r="B435">
        <v>1</v>
      </c>
      <c r="C435">
        <v>1</v>
      </c>
      <c r="D435">
        <v>9</v>
      </c>
      <c r="E435">
        <v>1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35">
      <c r="A436" t="s">
        <v>168</v>
      </c>
      <c r="B436">
        <v>1</v>
      </c>
      <c r="C436">
        <v>41</v>
      </c>
      <c r="D436">
        <v>45</v>
      </c>
      <c r="E436">
        <v>3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35">
      <c r="A437" t="s">
        <v>185</v>
      </c>
      <c r="B437">
        <v>1</v>
      </c>
      <c r="C437">
        <v>1</v>
      </c>
      <c r="D437">
        <v>9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35">
      <c r="A438" t="s">
        <v>305</v>
      </c>
      <c r="B438">
        <v>1</v>
      </c>
      <c r="C438">
        <v>33</v>
      </c>
      <c r="D438">
        <v>180</v>
      </c>
      <c r="E438">
        <v>12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35">
      <c r="A439" t="s">
        <v>168</v>
      </c>
      <c r="B439">
        <v>1</v>
      </c>
      <c r="C439">
        <v>43</v>
      </c>
      <c r="D439">
        <v>45</v>
      </c>
      <c r="E439">
        <v>4</v>
      </c>
      <c r="F439">
        <v>1</v>
      </c>
      <c r="G439" t="b">
        <v>0</v>
      </c>
      <c r="H439" t="b">
        <v>0</v>
      </c>
      <c r="I439" t="b">
        <v>1</v>
      </c>
    </row>
    <row r="440" spans="1:9" x14ac:dyDescent="0.35">
      <c r="A440" t="s">
        <v>305</v>
      </c>
      <c r="B440">
        <v>1</v>
      </c>
      <c r="C440">
        <v>33</v>
      </c>
      <c r="D440">
        <v>180</v>
      </c>
      <c r="E440">
        <v>12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35">
      <c r="A441" t="s">
        <v>168</v>
      </c>
      <c r="B441">
        <v>1</v>
      </c>
      <c r="C441">
        <v>43</v>
      </c>
      <c r="D441">
        <v>45</v>
      </c>
      <c r="E441">
        <v>4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35">
      <c r="A442" t="s">
        <v>168</v>
      </c>
      <c r="B442">
        <v>1</v>
      </c>
      <c r="C442">
        <v>43</v>
      </c>
      <c r="D442">
        <v>45</v>
      </c>
      <c r="E442">
        <v>4</v>
      </c>
      <c r="F442">
        <v>2</v>
      </c>
      <c r="G442" t="b">
        <v>0</v>
      </c>
      <c r="H442" t="b">
        <v>0</v>
      </c>
      <c r="I442" t="b">
        <v>1</v>
      </c>
    </row>
    <row r="443" spans="1:9" x14ac:dyDescent="0.35">
      <c r="A443" t="s">
        <v>305</v>
      </c>
      <c r="B443">
        <v>1</v>
      </c>
      <c r="C443">
        <v>32</v>
      </c>
      <c r="D443">
        <v>172</v>
      </c>
      <c r="E443">
        <v>5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35">
      <c r="A444" t="s">
        <v>168</v>
      </c>
      <c r="B444">
        <v>1</v>
      </c>
      <c r="C444">
        <v>43</v>
      </c>
      <c r="D444">
        <v>45</v>
      </c>
      <c r="E444">
        <v>4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35">
      <c r="A445" t="s">
        <v>168</v>
      </c>
      <c r="B445">
        <v>1</v>
      </c>
      <c r="C445">
        <v>43</v>
      </c>
      <c r="D445">
        <v>45</v>
      </c>
      <c r="E445">
        <v>4</v>
      </c>
      <c r="F445">
        <v>2</v>
      </c>
      <c r="G445" t="b">
        <v>0</v>
      </c>
      <c r="H445" t="b">
        <v>0</v>
      </c>
      <c r="I445" t="b">
        <v>1</v>
      </c>
    </row>
    <row r="446" spans="1:9" x14ac:dyDescent="0.35">
      <c r="A446" t="s">
        <v>174</v>
      </c>
      <c r="B446">
        <v>5</v>
      </c>
      <c r="C446">
        <v>5</v>
      </c>
      <c r="D446">
        <v>7</v>
      </c>
      <c r="E446">
        <v>4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35">
      <c r="A447" t="s">
        <v>194</v>
      </c>
      <c r="B447">
        <v>1</v>
      </c>
      <c r="C447">
        <v>8</v>
      </c>
      <c r="D447">
        <v>53</v>
      </c>
      <c r="E447">
        <v>5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35">
      <c r="A448" t="s">
        <v>189</v>
      </c>
      <c r="B448">
        <v>1</v>
      </c>
      <c r="C448">
        <v>27</v>
      </c>
      <c r="D448">
        <v>17</v>
      </c>
      <c r="E448">
        <v>6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35">
      <c r="A449" t="s">
        <v>279</v>
      </c>
      <c r="B449">
        <v>1</v>
      </c>
      <c r="C449">
        <v>19</v>
      </c>
      <c r="D449">
        <v>162</v>
      </c>
      <c r="E449">
        <v>12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35">
      <c r="A450" t="s">
        <v>189</v>
      </c>
      <c r="B450">
        <v>1</v>
      </c>
      <c r="C450">
        <v>26</v>
      </c>
      <c r="D450">
        <v>17</v>
      </c>
      <c r="E450">
        <v>6</v>
      </c>
      <c r="F450">
        <v>1</v>
      </c>
      <c r="G450" t="b">
        <v>0</v>
      </c>
      <c r="H450" t="b">
        <v>0</v>
      </c>
      <c r="I450" t="b">
        <v>1</v>
      </c>
    </row>
    <row r="451" spans="1:9" x14ac:dyDescent="0.35">
      <c r="A451" t="s">
        <v>279</v>
      </c>
      <c r="B451">
        <v>1</v>
      </c>
      <c r="C451">
        <v>19</v>
      </c>
      <c r="D451">
        <v>162</v>
      </c>
      <c r="E451">
        <v>12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35">
      <c r="A452" t="s">
        <v>279</v>
      </c>
      <c r="B452">
        <v>1</v>
      </c>
      <c r="C452">
        <v>19</v>
      </c>
      <c r="D452">
        <v>162</v>
      </c>
      <c r="E452">
        <v>12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35">
      <c r="A453" t="s">
        <v>189</v>
      </c>
      <c r="B453">
        <v>1</v>
      </c>
      <c r="C453">
        <v>26</v>
      </c>
      <c r="D453">
        <v>17</v>
      </c>
      <c r="E453">
        <v>6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35">
      <c r="A454" t="s">
        <v>279</v>
      </c>
      <c r="B454">
        <v>1</v>
      </c>
      <c r="C454">
        <v>19</v>
      </c>
      <c r="D454">
        <v>162</v>
      </c>
      <c r="E454">
        <v>12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35">
      <c r="A455" t="s">
        <v>201</v>
      </c>
      <c r="B455">
        <v>1</v>
      </c>
      <c r="C455">
        <v>1</v>
      </c>
      <c r="D455">
        <v>30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35">
      <c r="A456" t="s">
        <v>198</v>
      </c>
      <c r="B456">
        <v>1</v>
      </c>
      <c r="C456">
        <v>5</v>
      </c>
      <c r="D456">
        <v>38</v>
      </c>
      <c r="E456">
        <v>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35">
      <c r="A457" t="s">
        <v>189</v>
      </c>
      <c r="B457">
        <v>1</v>
      </c>
      <c r="C457">
        <v>27</v>
      </c>
      <c r="D457">
        <v>17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35">
      <c r="A458" t="s">
        <v>279</v>
      </c>
      <c r="B458">
        <v>1</v>
      </c>
      <c r="C458">
        <v>19</v>
      </c>
      <c r="D458">
        <v>162</v>
      </c>
      <c r="E458">
        <v>12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35">
      <c r="A459" t="s">
        <v>189</v>
      </c>
      <c r="B459">
        <v>1</v>
      </c>
      <c r="C459">
        <v>26</v>
      </c>
      <c r="D459">
        <v>17</v>
      </c>
      <c r="E459">
        <v>6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35">
      <c r="A460" t="s">
        <v>280</v>
      </c>
      <c r="B460">
        <v>1</v>
      </c>
      <c r="C460">
        <v>34</v>
      </c>
      <c r="D460">
        <v>177</v>
      </c>
      <c r="E460">
        <v>15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35">
      <c r="A461" t="s">
        <v>280</v>
      </c>
      <c r="B461">
        <v>1</v>
      </c>
      <c r="C461">
        <v>34</v>
      </c>
      <c r="D461">
        <v>177</v>
      </c>
      <c r="E461">
        <v>15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35">
      <c r="A462" t="s">
        <v>280</v>
      </c>
      <c r="B462">
        <v>1</v>
      </c>
      <c r="C462">
        <v>34</v>
      </c>
      <c r="D462">
        <v>177</v>
      </c>
      <c r="E462">
        <v>15</v>
      </c>
      <c r="F462">
        <v>1</v>
      </c>
      <c r="G462" t="b">
        <v>0</v>
      </c>
      <c r="H462" t="b">
        <v>0</v>
      </c>
      <c r="I462" t="b">
        <v>1</v>
      </c>
    </row>
    <row r="463" spans="1:9" x14ac:dyDescent="0.35">
      <c r="A463" t="s">
        <v>189</v>
      </c>
      <c r="B463">
        <v>1</v>
      </c>
      <c r="C463">
        <v>30</v>
      </c>
      <c r="D463">
        <v>19</v>
      </c>
      <c r="E463">
        <v>6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35">
      <c r="A464" t="s">
        <v>202</v>
      </c>
      <c r="B464">
        <v>4</v>
      </c>
      <c r="C464">
        <v>4</v>
      </c>
      <c r="D464">
        <v>6</v>
      </c>
      <c r="E464">
        <v>5</v>
      </c>
      <c r="F464">
        <v>2</v>
      </c>
      <c r="G464" t="b">
        <v>1</v>
      </c>
      <c r="H464" t="b">
        <v>1</v>
      </c>
      <c r="I464" t="b">
        <v>1</v>
      </c>
    </row>
    <row r="465" spans="1:9" x14ac:dyDescent="0.35">
      <c r="A465" t="s">
        <v>189</v>
      </c>
      <c r="B465">
        <v>1</v>
      </c>
      <c r="C465">
        <v>27</v>
      </c>
      <c r="D465">
        <v>17</v>
      </c>
      <c r="E465">
        <v>6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35">
      <c r="A466" t="s">
        <v>187</v>
      </c>
      <c r="B466">
        <v>1</v>
      </c>
      <c r="C466">
        <v>66</v>
      </c>
      <c r="D466">
        <v>37</v>
      </c>
      <c r="E466">
        <v>7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35">
      <c r="A467" t="s">
        <v>194</v>
      </c>
      <c r="B467">
        <v>1</v>
      </c>
      <c r="C467">
        <v>9</v>
      </c>
      <c r="D467">
        <v>62</v>
      </c>
      <c r="E467">
        <v>14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35">
      <c r="A468" t="s">
        <v>189</v>
      </c>
      <c r="B468">
        <v>1</v>
      </c>
      <c r="C468">
        <v>27</v>
      </c>
      <c r="D468">
        <v>17</v>
      </c>
      <c r="E468">
        <v>6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35">
      <c r="A469" t="s">
        <v>192</v>
      </c>
      <c r="B469">
        <v>1</v>
      </c>
      <c r="C469">
        <v>1</v>
      </c>
      <c r="D469">
        <v>25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35">
      <c r="A470" t="s">
        <v>189</v>
      </c>
      <c r="B470">
        <v>1</v>
      </c>
      <c r="C470">
        <v>30</v>
      </c>
      <c r="D470">
        <v>19</v>
      </c>
      <c r="E470">
        <v>6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35">
      <c r="A471" t="s">
        <v>187</v>
      </c>
      <c r="B471">
        <v>1</v>
      </c>
      <c r="C471">
        <v>45</v>
      </c>
      <c r="D471">
        <v>9</v>
      </c>
      <c r="E471">
        <v>7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35">
      <c r="A472" t="s">
        <v>196</v>
      </c>
      <c r="B472">
        <v>4</v>
      </c>
      <c r="C472">
        <v>4</v>
      </c>
      <c r="D472">
        <v>5</v>
      </c>
      <c r="E472">
        <v>7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35">
      <c r="A473" t="s">
        <v>206</v>
      </c>
      <c r="B473">
        <v>1</v>
      </c>
      <c r="C473">
        <v>9</v>
      </c>
      <c r="D473">
        <v>1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35">
      <c r="A474" t="s">
        <v>206</v>
      </c>
      <c r="B474">
        <v>1</v>
      </c>
      <c r="C474">
        <v>9</v>
      </c>
      <c r="D474">
        <v>1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35">
      <c r="A475" t="s">
        <v>206</v>
      </c>
      <c r="B475">
        <v>1</v>
      </c>
      <c r="C475">
        <v>9</v>
      </c>
      <c r="D475">
        <v>1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35">
      <c r="A476" t="s">
        <v>206</v>
      </c>
      <c r="B476">
        <v>1</v>
      </c>
      <c r="C476">
        <v>11</v>
      </c>
      <c r="D476">
        <v>1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35">
      <c r="A477" t="s">
        <v>206</v>
      </c>
      <c r="B477">
        <v>1</v>
      </c>
      <c r="C477">
        <v>9</v>
      </c>
      <c r="D477">
        <v>1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35">
      <c r="A478" t="s">
        <v>191</v>
      </c>
      <c r="B478">
        <v>2</v>
      </c>
      <c r="C478">
        <v>49</v>
      </c>
      <c r="D478">
        <v>42</v>
      </c>
      <c r="E478">
        <v>3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35">
      <c r="A479" t="s">
        <v>206</v>
      </c>
      <c r="B479">
        <v>1</v>
      </c>
      <c r="C479">
        <v>9</v>
      </c>
      <c r="D479">
        <v>1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35">
      <c r="A480" t="s">
        <v>206</v>
      </c>
      <c r="B480">
        <v>1</v>
      </c>
      <c r="C480">
        <v>9</v>
      </c>
      <c r="D480">
        <v>1</v>
      </c>
      <c r="E480">
        <v>1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35">
      <c r="A481" t="s">
        <v>187</v>
      </c>
      <c r="B481">
        <v>1</v>
      </c>
      <c r="C481">
        <v>43</v>
      </c>
      <c r="D481">
        <v>36</v>
      </c>
      <c r="E481">
        <v>6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35">
      <c r="A482" t="s">
        <v>281</v>
      </c>
      <c r="B482">
        <v>1</v>
      </c>
      <c r="C482">
        <v>31</v>
      </c>
      <c r="D482">
        <v>269</v>
      </c>
      <c r="E482">
        <v>14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35">
      <c r="A483" t="s">
        <v>207</v>
      </c>
      <c r="B483">
        <v>1</v>
      </c>
      <c r="C483">
        <v>27</v>
      </c>
      <c r="D483">
        <v>19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35">
      <c r="A484" t="s">
        <v>201</v>
      </c>
      <c r="B484">
        <v>1</v>
      </c>
      <c r="C484">
        <v>1</v>
      </c>
      <c r="D484">
        <v>34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35">
      <c r="A485" t="s">
        <v>281</v>
      </c>
      <c r="B485">
        <v>1</v>
      </c>
      <c r="C485">
        <v>31</v>
      </c>
      <c r="D485">
        <v>269</v>
      </c>
      <c r="E485">
        <v>14</v>
      </c>
      <c r="F485">
        <v>1</v>
      </c>
      <c r="G485" t="b">
        <v>0</v>
      </c>
      <c r="H485" t="b">
        <v>0</v>
      </c>
      <c r="I485" t="b">
        <v>1</v>
      </c>
    </row>
    <row r="486" spans="1:9" x14ac:dyDescent="0.35">
      <c r="A486" t="s">
        <v>207</v>
      </c>
      <c r="B486">
        <v>1</v>
      </c>
      <c r="C486">
        <v>27</v>
      </c>
      <c r="D486">
        <v>19</v>
      </c>
      <c r="E486">
        <v>1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35">
      <c r="A487" t="s">
        <v>209</v>
      </c>
      <c r="B487">
        <v>1</v>
      </c>
      <c r="C487">
        <v>1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35">
      <c r="A488" t="s">
        <v>192</v>
      </c>
      <c r="B488">
        <v>1</v>
      </c>
      <c r="C488">
        <v>1</v>
      </c>
      <c r="D488">
        <v>29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35">
      <c r="A489" t="s">
        <v>207</v>
      </c>
      <c r="B489">
        <v>1</v>
      </c>
      <c r="C489">
        <v>31</v>
      </c>
      <c r="D489">
        <v>21</v>
      </c>
      <c r="E489">
        <v>1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35">
      <c r="A490" t="s">
        <v>201</v>
      </c>
      <c r="B490">
        <v>1</v>
      </c>
      <c r="C490">
        <v>1</v>
      </c>
      <c r="D490">
        <v>34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35">
      <c r="A491" t="s">
        <v>303</v>
      </c>
      <c r="B491">
        <v>1</v>
      </c>
      <c r="C491">
        <v>23</v>
      </c>
      <c r="D491">
        <v>236</v>
      </c>
      <c r="E491">
        <v>13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35">
      <c r="A492" t="s">
        <v>207</v>
      </c>
      <c r="B492">
        <v>1</v>
      </c>
      <c r="C492">
        <v>27</v>
      </c>
      <c r="D492">
        <v>19</v>
      </c>
      <c r="E492">
        <v>1</v>
      </c>
      <c r="F492">
        <v>1</v>
      </c>
      <c r="G492" t="b">
        <v>0</v>
      </c>
      <c r="H492" t="b">
        <v>0</v>
      </c>
      <c r="I492" t="b">
        <v>1</v>
      </c>
    </row>
    <row r="493" spans="1:9" x14ac:dyDescent="0.35">
      <c r="A493" t="s">
        <v>281</v>
      </c>
      <c r="B493">
        <v>1</v>
      </c>
      <c r="C493">
        <v>31</v>
      </c>
      <c r="D493">
        <v>269</v>
      </c>
      <c r="E493">
        <v>14</v>
      </c>
      <c r="F493">
        <v>1</v>
      </c>
      <c r="G493" t="b">
        <v>0</v>
      </c>
      <c r="H493" t="b">
        <v>0</v>
      </c>
      <c r="I493" t="b">
        <v>1</v>
      </c>
    </row>
    <row r="494" spans="1:9" x14ac:dyDescent="0.35">
      <c r="A494" t="s">
        <v>201</v>
      </c>
      <c r="B494">
        <v>1</v>
      </c>
      <c r="C494">
        <v>1</v>
      </c>
      <c r="D494">
        <v>34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35">
      <c r="A495" t="s">
        <v>281</v>
      </c>
      <c r="B495">
        <v>1</v>
      </c>
      <c r="C495">
        <v>31</v>
      </c>
      <c r="D495">
        <v>269</v>
      </c>
      <c r="E495">
        <v>14</v>
      </c>
      <c r="F495">
        <v>1</v>
      </c>
      <c r="G495" t="b">
        <v>0</v>
      </c>
      <c r="H495" t="b">
        <v>0</v>
      </c>
      <c r="I495" t="b">
        <v>1</v>
      </c>
    </row>
    <row r="496" spans="1:9" x14ac:dyDescent="0.35">
      <c r="A496" t="s">
        <v>207</v>
      </c>
      <c r="B496">
        <v>1</v>
      </c>
      <c r="C496">
        <v>27</v>
      </c>
      <c r="D496">
        <v>19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35">
      <c r="A497" t="s">
        <v>202</v>
      </c>
      <c r="B497">
        <v>5</v>
      </c>
      <c r="C497">
        <v>5</v>
      </c>
      <c r="D497">
        <v>7</v>
      </c>
      <c r="E497">
        <v>7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35">
      <c r="A498" t="s">
        <v>202</v>
      </c>
      <c r="B498">
        <v>4</v>
      </c>
      <c r="C498">
        <v>4</v>
      </c>
      <c r="D498">
        <v>6</v>
      </c>
      <c r="E498">
        <v>5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35">
      <c r="A499" t="s">
        <v>187</v>
      </c>
      <c r="B499">
        <v>1</v>
      </c>
      <c r="C499">
        <v>7</v>
      </c>
      <c r="D499">
        <v>9</v>
      </c>
      <c r="E499">
        <v>6</v>
      </c>
      <c r="F499">
        <v>2</v>
      </c>
      <c r="G499" t="b">
        <v>0</v>
      </c>
      <c r="H499" t="b">
        <v>0</v>
      </c>
      <c r="I499" t="b">
        <v>1</v>
      </c>
    </row>
    <row r="500" spans="1:9" x14ac:dyDescent="0.35">
      <c r="A500" t="s">
        <v>226</v>
      </c>
      <c r="B500">
        <v>1</v>
      </c>
      <c r="C500">
        <v>1</v>
      </c>
      <c r="D500">
        <v>1</v>
      </c>
      <c r="E500">
        <v>3</v>
      </c>
      <c r="F500">
        <v>100021</v>
      </c>
      <c r="G500" t="b">
        <v>0</v>
      </c>
      <c r="H500" t="b">
        <v>0</v>
      </c>
      <c r="I500" t="b">
        <v>1</v>
      </c>
    </row>
    <row r="501" spans="1:9" x14ac:dyDescent="0.35">
      <c r="A501" t="s">
        <v>204</v>
      </c>
      <c r="B501">
        <v>3</v>
      </c>
      <c r="C501">
        <v>19</v>
      </c>
      <c r="D501">
        <v>21</v>
      </c>
      <c r="E501">
        <v>7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35">
      <c r="A502" t="s">
        <v>204</v>
      </c>
      <c r="B502">
        <v>4</v>
      </c>
      <c r="C502">
        <v>19</v>
      </c>
      <c r="D502">
        <v>21</v>
      </c>
      <c r="E502">
        <v>7</v>
      </c>
      <c r="F502">
        <v>6</v>
      </c>
      <c r="G502" t="b">
        <v>1</v>
      </c>
      <c r="H502" t="b">
        <v>1</v>
      </c>
      <c r="I502" t="b">
        <v>1</v>
      </c>
    </row>
    <row r="503" spans="1:9" x14ac:dyDescent="0.35">
      <c r="A503" t="s">
        <v>206</v>
      </c>
      <c r="B503">
        <v>1</v>
      </c>
      <c r="C503">
        <v>9</v>
      </c>
      <c r="D503">
        <v>1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35">
      <c r="A504" t="s">
        <v>206</v>
      </c>
      <c r="B504">
        <v>1</v>
      </c>
      <c r="C504">
        <v>9</v>
      </c>
      <c r="D504">
        <v>1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35">
      <c r="A505" t="s">
        <v>206</v>
      </c>
      <c r="B505">
        <v>1</v>
      </c>
      <c r="C505">
        <v>11</v>
      </c>
      <c r="D505">
        <v>1</v>
      </c>
      <c r="E505">
        <v>1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35">
      <c r="A506" t="s">
        <v>206</v>
      </c>
      <c r="B506">
        <v>1</v>
      </c>
      <c r="C506">
        <v>11</v>
      </c>
      <c r="D506">
        <v>1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35">
      <c r="A507" t="s">
        <v>205</v>
      </c>
      <c r="B507">
        <v>2</v>
      </c>
      <c r="C507">
        <v>32</v>
      </c>
      <c r="D507">
        <v>28</v>
      </c>
      <c r="E507">
        <v>7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35">
      <c r="A508" t="s">
        <v>204</v>
      </c>
      <c r="B508">
        <v>3</v>
      </c>
      <c r="C508">
        <v>56</v>
      </c>
      <c r="D508">
        <v>22</v>
      </c>
      <c r="E508">
        <v>8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35">
      <c r="A509" t="s">
        <v>205</v>
      </c>
      <c r="B509">
        <v>2</v>
      </c>
      <c r="C509">
        <v>32</v>
      </c>
      <c r="D509">
        <v>28</v>
      </c>
      <c r="E509">
        <v>7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35">
      <c r="A510" t="s">
        <v>204</v>
      </c>
      <c r="B510">
        <v>3</v>
      </c>
      <c r="C510">
        <v>56</v>
      </c>
      <c r="D510">
        <v>22</v>
      </c>
      <c r="E510">
        <v>8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35">
      <c r="A511" t="s">
        <v>196</v>
      </c>
      <c r="B511">
        <v>4</v>
      </c>
      <c r="C511">
        <v>4</v>
      </c>
      <c r="D511">
        <v>5</v>
      </c>
      <c r="E511">
        <v>8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35">
      <c r="A512" t="s">
        <v>208</v>
      </c>
      <c r="B512">
        <v>17</v>
      </c>
      <c r="C512">
        <v>5</v>
      </c>
      <c r="D512">
        <v>33</v>
      </c>
      <c r="E512">
        <v>14</v>
      </c>
      <c r="F512">
        <v>200021</v>
      </c>
      <c r="G512" t="b">
        <v>1</v>
      </c>
      <c r="H512" t="b">
        <v>1</v>
      </c>
      <c r="I512" t="b">
        <v>1</v>
      </c>
    </row>
    <row r="513" spans="1:9" x14ac:dyDescent="0.35">
      <c r="A513" t="s">
        <v>207</v>
      </c>
      <c r="B513">
        <v>1</v>
      </c>
      <c r="C513">
        <v>27</v>
      </c>
      <c r="D513">
        <v>19</v>
      </c>
      <c r="E513">
        <v>1</v>
      </c>
      <c r="F513">
        <v>2</v>
      </c>
      <c r="G513" t="b">
        <v>0</v>
      </c>
      <c r="H513" t="b">
        <v>0</v>
      </c>
      <c r="I513" t="b">
        <v>1</v>
      </c>
    </row>
    <row r="514" spans="1:9" x14ac:dyDescent="0.35">
      <c r="A514" t="s">
        <v>192</v>
      </c>
      <c r="B514">
        <v>1</v>
      </c>
      <c r="C514">
        <v>3</v>
      </c>
      <c r="D514">
        <v>51</v>
      </c>
      <c r="E514">
        <v>1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35">
      <c r="A515" t="s">
        <v>206</v>
      </c>
      <c r="B515">
        <v>1</v>
      </c>
      <c r="C515">
        <v>9</v>
      </c>
      <c r="D515">
        <v>1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35">
      <c r="A516" t="s">
        <v>206</v>
      </c>
      <c r="B516">
        <v>1</v>
      </c>
      <c r="C516">
        <v>9</v>
      </c>
      <c r="D516">
        <v>1</v>
      </c>
      <c r="E516">
        <v>1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35">
      <c r="A517" t="s">
        <v>187</v>
      </c>
      <c r="B517">
        <v>1</v>
      </c>
      <c r="C517">
        <v>43</v>
      </c>
      <c r="D517">
        <v>36</v>
      </c>
      <c r="E517">
        <v>6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35">
      <c r="A518" t="s">
        <v>282</v>
      </c>
      <c r="B518">
        <v>1</v>
      </c>
      <c r="C518">
        <v>14</v>
      </c>
      <c r="D518">
        <v>71</v>
      </c>
      <c r="E518">
        <v>8</v>
      </c>
      <c r="F518">
        <v>1</v>
      </c>
      <c r="G518" t="b">
        <v>0</v>
      </c>
      <c r="H518" t="b">
        <v>0</v>
      </c>
      <c r="I518" t="b">
        <v>1</v>
      </c>
    </row>
    <row r="519" spans="1:9" x14ac:dyDescent="0.35">
      <c r="A519" t="s">
        <v>282</v>
      </c>
      <c r="B519">
        <v>1</v>
      </c>
      <c r="C519">
        <v>14</v>
      </c>
      <c r="D519">
        <v>71</v>
      </c>
      <c r="E519">
        <v>8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35">
      <c r="A520" t="s">
        <v>282</v>
      </c>
      <c r="B520">
        <v>1</v>
      </c>
      <c r="C520">
        <v>14</v>
      </c>
      <c r="D520">
        <v>71</v>
      </c>
      <c r="E520">
        <v>8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35">
      <c r="A521" t="s">
        <v>282</v>
      </c>
      <c r="B521">
        <v>1</v>
      </c>
      <c r="C521">
        <v>14</v>
      </c>
      <c r="D521">
        <v>71</v>
      </c>
      <c r="E521">
        <v>8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35">
      <c r="A522" t="s">
        <v>164</v>
      </c>
      <c r="B522">
        <v>1</v>
      </c>
      <c r="C522">
        <v>17</v>
      </c>
      <c r="D522">
        <v>13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35">
      <c r="A523" t="s">
        <v>211</v>
      </c>
      <c r="B523">
        <v>2</v>
      </c>
      <c r="C523">
        <v>2</v>
      </c>
      <c r="D523">
        <v>7</v>
      </c>
      <c r="E523">
        <v>2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35">
      <c r="A524" t="s">
        <v>164</v>
      </c>
      <c r="B524">
        <v>1</v>
      </c>
      <c r="C524">
        <v>10</v>
      </c>
      <c r="D524">
        <v>12</v>
      </c>
      <c r="E524">
        <v>5</v>
      </c>
      <c r="F524">
        <v>3</v>
      </c>
      <c r="G524" t="b">
        <v>1</v>
      </c>
      <c r="H524" t="b">
        <v>1</v>
      </c>
      <c r="I524" t="b">
        <v>1</v>
      </c>
    </row>
    <row r="525" spans="1:9" x14ac:dyDescent="0.35">
      <c r="A525" t="s">
        <v>283</v>
      </c>
      <c r="B525">
        <v>1</v>
      </c>
      <c r="C525">
        <v>24</v>
      </c>
      <c r="D525">
        <v>81</v>
      </c>
      <c r="E525">
        <v>9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35">
      <c r="A526" t="s">
        <v>214</v>
      </c>
      <c r="B526">
        <v>1</v>
      </c>
      <c r="C526">
        <v>1</v>
      </c>
      <c r="D526">
        <v>1</v>
      </c>
      <c r="E526">
        <v>2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35">
      <c r="A527" t="s">
        <v>214</v>
      </c>
      <c r="B527">
        <v>1</v>
      </c>
      <c r="C527">
        <v>1</v>
      </c>
      <c r="D527">
        <v>1</v>
      </c>
      <c r="E527">
        <v>1</v>
      </c>
      <c r="F527">
        <v>2</v>
      </c>
      <c r="G527" t="b">
        <v>0</v>
      </c>
      <c r="H527" t="b">
        <v>0</v>
      </c>
      <c r="I527" t="b">
        <v>1</v>
      </c>
    </row>
    <row r="528" spans="1:9" x14ac:dyDescent="0.35">
      <c r="A528" t="s">
        <v>211</v>
      </c>
      <c r="B528">
        <v>2</v>
      </c>
      <c r="C528">
        <v>2</v>
      </c>
      <c r="D528">
        <v>7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35">
      <c r="A529" t="s">
        <v>164</v>
      </c>
      <c r="B529">
        <v>1</v>
      </c>
      <c r="C529">
        <v>10</v>
      </c>
      <c r="D529">
        <v>12</v>
      </c>
      <c r="E529">
        <v>5</v>
      </c>
      <c r="F529">
        <v>3</v>
      </c>
      <c r="G529" t="b">
        <v>1</v>
      </c>
      <c r="H529" t="b">
        <v>1</v>
      </c>
      <c r="I529" t="b">
        <v>1</v>
      </c>
    </row>
    <row r="530" spans="1:9" x14ac:dyDescent="0.35">
      <c r="A530" t="s">
        <v>283</v>
      </c>
      <c r="B530">
        <v>1</v>
      </c>
      <c r="C530">
        <v>24</v>
      </c>
      <c r="D530">
        <v>81</v>
      </c>
      <c r="E530">
        <v>9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35">
      <c r="A531" t="s">
        <v>283</v>
      </c>
      <c r="B531">
        <v>1</v>
      </c>
      <c r="C531">
        <v>24</v>
      </c>
      <c r="D531">
        <v>81</v>
      </c>
      <c r="E531">
        <v>9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35">
      <c r="A532" t="s">
        <v>214</v>
      </c>
      <c r="B532">
        <v>1</v>
      </c>
      <c r="C532">
        <v>1</v>
      </c>
      <c r="D532">
        <v>1</v>
      </c>
      <c r="E532">
        <v>2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35">
      <c r="A533" t="s">
        <v>282</v>
      </c>
      <c r="B533">
        <v>1</v>
      </c>
      <c r="C533">
        <v>14</v>
      </c>
      <c r="D533">
        <v>71</v>
      </c>
      <c r="E533">
        <v>8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35">
      <c r="A534" t="s">
        <v>212</v>
      </c>
      <c r="B534">
        <v>11</v>
      </c>
      <c r="C534">
        <v>130</v>
      </c>
      <c r="D534">
        <v>115</v>
      </c>
      <c r="E534">
        <v>7</v>
      </c>
      <c r="F534">
        <v>6</v>
      </c>
      <c r="G534" t="b">
        <v>1</v>
      </c>
      <c r="H534" t="b">
        <v>1</v>
      </c>
      <c r="I534" t="b">
        <v>1</v>
      </c>
    </row>
    <row r="535" spans="1:9" x14ac:dyDescent="0.35">
      <c r="A535" t="s">
        <v>213</v>
      </c>
      <c r="B535">
        <v>5</v>
      </c>
      <c r="C535">
        <v>102</v>
      </c>
      <c r="D535">
        <v>86</v>
      </c>
      <c r="E535">
        <v>21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35">
      <c r="A536" t="s">
        <v>215</v>
      </c>
      <c r="B536">
        <v>8</v>
      </c>
      <c r="C536">
        <v>415</v>
      </c>
      <c r="D536">
        <v>58</v>
      </c>
      <c r="E536">
        <v>6</v>
      </c>
      <c r="F536">
        <v>6</v>
      </c>
      <c r="G536" t="b">
        <v>1</v>
      </c>
      <c r="H536" t="b">
        <v>1</v>
      </c>
      <c r="I536" t="b">
        <v>1</v>
      </c>
    </row>
    <row r="537" spans="1:9" x14ac:dyDescent="0.35">
      <c r="A537" t="s">
        <v>214</v>
      </c>
      <c r="B537">
        <v>1</v>
      </c>
      <c r="C537">
        <v>36</v>
      </c>
      <c r="D537">
        <v>50</v>
      </c>
      <c r="E537">
        <v>2</v>
      </c>
      <c r="F537">
        <v>2</v>
      </c>
      <c r="G537" t="b">
        <v>0</v>
      </c>
      <c r="H537" t="b">
        <v>0</v>
      </c>
      <c r="I537" t="b">
        <v>1</v>
      </c>
    </row>
    <row r="538" spans="1:9" x14ac:dyDescent="0.35">
      <c r="A538" t="s">
        <v>214</v>
      </c>
      <c r="B538">
        <v>1</v>
      </c>
      <c r="C538">
        <v>1</v>
      </c>
      <c r="D538">
        <v>1</v>
      </c>
      <c r="E538">
        <v>2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35">
      <c r="A539" t="s">
        <v>214</v>
      </c>
      <c r="B539">
        <v>1</v>
      </c>
      <c r="C539">
        <v>1</v>
      </c>
      <c r="D539">
        <v>1</v>
      </c>
      <c r="E539">
        <v>6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35">
      <c r="A540" t="s">
        <v>212</v>
      </c>
      <c r="B540">
        <v>7</v>
      </c>
      <c r="C540">
        <v>130</v>
      </c>
      <c r="D540">
        <v>115</v>
      </c>
      <c r="E540">
        <v>7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35">
      <c r="A541" t="s">
        <v>214</v>
      </c>
      <c r="B541">
        <v>1</v>
      </c>
      <c r="C541">
        <v>36</v>
      </c>
      <c r="D541">
        <v>50</v>
      </c>
      <c r="E541">
        <v>1</v>
      </c>
      <c r="F541">
        <v>2</v>
      </c>
      <c r="G541" t="b">
        <v>0</v>
      </c>
      <c r="H541" t="b">
        <v>0</v>
      </c>
      <c r="I541" t="b">
        <v>1</v>
      </c>
    </row>
    <row r="542" spans="1:9" x14ac:dyDescent="0.35">
      <c r="A542" t="s">
        <v>214</v>
      </c>
      <c r="B542">
        <v>1</v>
      </c>
      <c r="C542">
        <v>1</v>
      </c>
      <c r="D542">
        <v>1</v>
      </c>
      <c r="E542">
        <v>2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35">
      <c r="A543" t="s">
        <v>213</v>
      </c>
      <c r="B543">
        <v>3</v>
      </c>
      <c r="C543">
        <v>2</v>
      </c>
      <c r="D543">
        <v>4</v>
      </c>
      <c r="E543">
        <v>9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35">
      <c r="A544" t="s">
        <v>214</v>
      </c>
      <c r="B544">
        <v>1</v>
      </c>
      <c r="C544">
        <v>36</v>
      </c>
      <c r="D544">
        <v>50</v>
      </c>
      <c r="E544">
        <v>2</v>
      </c>
      <c r="F544">
        <v>2</v>
      </c>
      <c r="G544" t="b">
        <v>0</v>
      </c>
      <c r="H544" t="b">
        <v>0</v>
      </c>
      <c r="I544" t="b">
        <v>1</v>
      </c>
    </row>
    <row r="545" spans="1:9" x14ac:dyDescent="0.35">
      <c r="A545" t="s">
        <v>212</v>
      </c>
      <c r="B545">
        <v>7</v>
      </c>
      <c r="C545">
        <v>130</v>
      </c>
      <c r="D545">
        <v>115</v>
      </c>
      <c r="E545">
        <v>7</v>
      </c>
      <c r="F545">
        <v>2</v>
      </c>
      <c r="G545" t="b">
        <v>1</v>
      </c>
      <c r="H545" t="b">
        <v>1</v>
      </c>
      <c r="I545" t="b">
        <v>1</v>
      </c>
    </row>
    <row r="546" spans="1:9" x14ac:dyDescent="0.35">
      <c r="A546" t="s">
        <v>212</v>
      </c>
      <c r="B546">
        <v>11</v>
      </c>
      <c r="C546">
        <v>130</v>
      </c>
      <c r="D546">
        <v>115</v>
      </c>
      <c r="E546">
        <v>7</v>
      </c>
      <c r="F546">
        <v>6</v>
      </c>
      <c r="G546" t="b">
        <v>1</v>
      </c>
      <c r="H546" t="b">
        <v>1</v>
      </c>
      <c r="I546" t="b">
        <v>1</v>
      </c>
    </row>
    <row r="547" spans="1:9" x14ac:dyDescent="0.35">
      <c r="A547" t="s">
        <v>213</v>
      </c>
      <c r="B547">
        <v>3</v>
      </c>
      <c r="C547">
        <v>50</v>
      </c>
      <c r="D547">
        <v>79</v>
      </c>
      <c r="E547">
        <v>10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35">
      <c r="A548" t="s">
        <v>216</v>
      </c>
      <c r="B548">
        <v>10</v>
      </c>
      <c r="C548">
        <v>103</v>
      </c>
      <c r="D548">
        <v>87</v>
      </c>
      <c r="E548">
        <v>32</v>
      </c>
      <c r="F548">
        <v>6</v>
      </c>
      <c r="G548" t="b">
        <v>1</v>
      </c>
      <c r="H548" t="b">
        <v>1</v>
      </c>
      <c r="I548" t="b">
        <v>1</v>
      </c>
    </row>
    <row r="549" spans="1:9" x14ac:dyDescent="0.35">
      <c r="A549" t="s">
        <v>212</v>
      </c>
      <c r="B549">
        <v>7</v>
      </c>
      <c r="C549">
        <v>130</v>
      </c>
      <c r="D549">
        <v>115</v>
      </c>
      <c r="E549">
        <v>7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35">
      <c r="A550" t="s">
        <v>213</v>
      </c>
      <c r="B550">
        <v>5</v>
      </c>
      <c r="C550">
        <v>102</v>
      </c>
      <c r="D550">
        <v>86</v>
      </c>
      <c r="E550">
        <v>21</v>
      </c>
      <c r="F550">
        <v>2</v>
      </c>
      <c r="G550" t="b">
        <v>1</v>
      </c>
      <c r="H550" t="b">
        <v>1</v>
      </c>
      <c r="I550" t="b">
        <v>1</v>
      </c>
    </row>
    <row r="551" spans="1:9" x14ac:dyDescent="0.35">
      <c r="A551" t="s">
        <v>215</v>
      </c>
      <c r="B551">
        <v>2</v>
      </c>
      <c r="C551">
        <v>363</v>
      </c>
      <c r="D551">
        <v>51</v>
      </c>
      <c r="E551">
        <v>5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35">
      <c r="A552" t="s">
        <v>214</v>
      </c>
      <c r="B552">
        <v>1</v>
      </c>
      <c r="C552">
        <v>36</v>
      </c>
      <c r="D552">
        <v>50</v>
      </c>
      <c r="E552">
        <v>2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35">
      <c r="A553" t="s">
        <v>282</v>
      </c>
      <c r="B553">
        <v>1</v>
      </c>
      <c r="C553">
        <v>20</v>
      </c>
      <c r="D553">
        <v>204</v>
      </c>
      <c r="E553">
        <v>10</v>
      </c>
      <c r="F553">
        <v>1</v>
      </c>
      <c r="G553" t="b">
        <v>0</v>
      </c>
      <c r="H553" t="b">
        <v>0</v>
      </c>
      <c r="I553" t="b">
        <v>1</v>
      </c>
    </row>
    <row r="554" spans="1:9" x14ac:dyDescent="0.35">
      <c r="A554" t="s">
        <v>282</v>
      </c>
      <c r="B554">
        <v>1</v>
      </c>
      <c r="C554">
        <v>20</v>
      </c>
      <c r="D554">
        <v>204</v>
      </c>
      <c r="E554">
        <v>10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35">
      <c r="A555" t="s">
        <v>282</v>
      </c>
      <c r="B555">
        <v>1</v>
      </c>
      <c r="C555">
        <v>20</v>
      </c>
      <c r="D555">
        <v>204</v>
      </c>
      <c r="E555">
        <v>10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35">
      <c r="A556" t="s">
        <v>282</v>
      </c>
      <c r="B556">
        <v>1</v>
      </c>
      <c r="C556">
        <v>20</v>
      </c>
      <c r="D556">
        <v>204</v>
      </c>
      <c r="E556">
        <v>10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35">
      <c r="A557" t="s">
        <v>214</v>
      </c>
      <c r="B557">
        <v>1</v>
      </c>
      <c r="C557">
        <v>16</v>
      </c>
      <c r="D557">
        <v>21</v>
      </c>
      <c r="E557">
        <v>2</v>
      </c>
      <c r="F557">
        <v>2</v>
      </c>
      <c r="G557" t="b">
        <v>0</v>
      </c>
      <c r="H557" t="b">
        <v>0</v>
      </c>
      <c r="I557" t="b">
        <v>1</v>
      </c>
    </row>
    <row r="558" spans="1:9" x14ac:dyDescent="0.35">
      <c r="A558" t="s">
        <v>214</v>
      </c>
      <c r="B558">
        <v>1</v>
      </c>
      <c r="C558">
        <v>16</v>
      </c>
      <c r="D558">
        <v>21</v>
      </c>
      <c r="E558">
        <v>2</v>
      </c>
      <c r="F558">
        <v>2</v>
      </c>
      <c r="G558" t="b">
        <v>0</v>
      </c>
      <c r="H558" t="b">
        <v>0</v>
      </c>
      <c r="I558" t="b">
        <v>1</v>
      </c>
    </row>
    <row r="559" spans="1:9" x14ac:dyDescent="0.35">
      <c r="A559" t="s">
        <v>214</v>
      </c>
      <c r="B559">
        <v>1</v>
      </c>
      <c r="C559">
        <v>16</v>
      </c>
      <c r="D559">
        <v>21</v>
      </c>
      <c r="E559">
        <v>2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35">
      <c r="A560" t="s">
        <v>213</v>
      </c>
      <c r="B560">
        <v>2</v>
      </c>
      <c r="C560">
        <v>2</v>
      </c>
      <c r="D560">
        <v>3</v>
      </c>
      <c r="E560">
        <v>7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35">
      <c r="A561" t="s">
        <v>164</v>
      </c>
      <c r="B561">
        <v>1</v>
      </c>
      <c r="C561">
        <v>17</v>
      </c>
      <c r="D561">
        <v>13</v>
      </c>
      <c r="E561">
        <v>1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35">
      <c r="A562" t="s">
        <v>214</v>
      </c>
      <c r="B562">
        <v>1</v>
      </c>
      <c r="C562">
        <v>16</v>
      </c>
      <c r="D562">
        <v>21</v>
      </c>
      <c r="E562">
        <v>2</v>
      </c>
      <c r="F562">
        <v>2</v>
      </c>
      <c r="G562" t="b">
        <v>0</v>
      </c>
      <c r="H562" t="b">
        <v>0</v>
      </c>
      <c r="I562" t="b">
        <v>1</v>
      </c>
    </row>
    <row r="563" spans="1:9" x14ac:dyDescent="0.35">
      <c r="A563" t="s">
        <v>164</v>
      </c>
      <c r="B563">
        <v>1</v>
      </c>
      <c r="C563">
        <v>13</v>
      </c>
      <c r="D563">
        <v>11</v>
      </c>
      <c r="E563">
        <v>1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35">
      <c r="A564" t="s">
        <v>214</v>
      </c>
      <c r="B564">
        <v>1</v>
      </c>
      <c r="C564">
        <v>1</v>
      </c>
      <c r="D564">
        <v>1</v>
      </c>
      <c r="E564">
        <v>2</v>
      </c>
      <c r="F564">
        <v>2</v>
      </c>
      <c r="G564" t="b">
        <v>1</v>
      </c>
      <c r="H564" t="b">
        <v>1</v>
      </c>
      <c r="I564" t="b">
        <v>1</v>
      </c>
    </row>
    <row r="565" spans="1:9" x14ac:dyDescent="0.35">
      <c r="A565" t="s">
        <v>214</v>
      </c>
      <c r="B565">
        <v>1</v>
      </c>
      <c r="C565">
        <v>1</v>
      </c>
      <c r="D565">
        <v>1</v>
      </c>
      <c r="E565">
        <v>1</v>
      </c>
      <c r="F565">
        <v>2</v>
      </c>
      <c r="G565" t="b">
        <v>0</v>
      </c>
      <c r="H565" t="b">
        <v>0</v>
      </c>
      <c r="I565" t="b">
        <v>1</v>
      </c>
    </row>
    <row r="566" spans="1:9" x14ac:dyDescent="0.35">
      <c r="A566" t="s">
        <v>214</v>
      </c>
      <c r="B566">
        <v>1</v>
      </c>
      <c r="C566">
        <v>16</v>
      </c>
      <c r="D566">
        <v>21</v>
      </c>
      <c r="E566">
        <v>2</v>
      </c>
      <c r="F566">
        <v>100021</v>
      </c>
      <c r="G566" t="b">
        <v>0</v>
      </c>
      <c r="H566" t="b">
        <v>0</v>
      </c>
      <c r="I566" t="b">
        <v>1</v>
      </c>
    </row>
    <row r="567" spans="1:9" x14ac:dyDescent="0.35">
      <c r="A567" t="s">
        <v>164</v>
      </c>
      <c r="B567">
        <v>1</v>
      </c>
      <c r="C567">
        <v>13</v>
      </c>
      <c r="D567">
        <v>11</v>
      </c>
      <c r="E567">
        <v>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35">
      <c r="A568" t="s">
        <v>214</v>
      </c>
      <c r="B568">
        <v>1</v>
      </c>
      <c r="C568">
        <v>1</v>
      </c>
      <c r="D568">
        <v>1</v>
      </c>
      <c r="E568">
        <v>2</v>
      </c>
      <c r="F568">
        <v>2</v>
      </c>
      <c r="G568" t="b">
        <v>1</v>
      </c>
      <c r="H568" t="b">
        <v>1</v>
      </c>
      <c r="I568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E629-BE23-4927-A006-8DC0A1918F94}">
  <dimension ref="A1:V421"/>
  <sheetViews>
    <sheetView workbookViewId="0">
      <selection sqref="A1:I422"/>
    </sheetView>
  </sheetViews>
  <sheetFormatPr defaultRowHeight="14.5" x14ac:dyDescent="0.35"/>
  <cols>
    <col min="3" max="3" width="10.7265625" customWidth="1"/>
  </cols>
  <sheetData>
    <row r="1" spans="1:22" x14ac:dyDescent="0.35">
      <c r="A1" t="s">
        <v>24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25</v>
      </c>
      <c r="L1" t="s">
        <v>26</v>
      </c>
      <c r="M1" t="s">
        <v>27</v>
      </c>
      <c r="N1" t="s">
        <v>25</v>
      </c>
      <c r="O1" t="s">
        <v>26</v>
      </c>
      <c r="P1" t="s">
        <v>27</v>
      </c>
      <c r="Q1" t="s">
        <v>25</v>
      </c>
      <c r="R1" t="s">
        <v>26</v>
      </c>
      <c r="S1" t="s">
        <v>27</v>
      </c>
      <c r="T1" t="s">
        <v>25</v>
      </c>
      <c r="U1" t="s">
        <v>26</v>
      </c>
      <c r="V1" t="s">
        <v>27</v>
      </c>
    </row>
    <row r="2" spans="1:22" x14ac:dyDescent="0.35">
      <c r="A2" t="s">
        <v>28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105</v>
      </c>
      <c r="L2">
        <f>COUNTIF(B1:B1000,"&lt;=5")</f>
        <v>353</v>
      </c>
      <c r="M2">
        <f>COUNTIF(B1:B1000,"&lt;=10")</f>
        <v>404</v>
      </c>
      <c r="N2">
        <f>COUNTIF(C1:C1000,"=1")</f>
        <v>0</v>
      </c>
      <c r="O2">
        <f>COUNTIF(C1:C1000,"&lt;=5")</f>
        <v>0</v>
      </c>
      <c r="P2">
        <f>COUNTIF(C1:C1000,"&lt;=10")</f>
        <v>1</v>
      </c>
      <c r="Q2">
        <f>COUNTIF(D1:D1000,"=1")</f>
        <v>0</v>
      </c>
      <c r="R2">
        <f>COUNTIF(D1:D1000,"&lt;=5")</f>
        <v>0</v>
      </c>
      <c r="S2">
        <f>COUNTIF(D1:D1000,"&lt;=10")</f>
        <v>1</v>
      </c>
      <c r="T2">
        <f>COUNTIF(E1:E1000,"=1")</f>
        <v>31</v>
      </c>
      <c r="U2">
        <f>COUNTIF(E1:E1000,"&lt;=5")</f>
        <v>111</v>
      </c>
      <c r="V2">
        <f>COUNTIF(E1:E1000,"&lt;=10")</f>
        <v>244</v>
      </c>
    </row>
    <row r="3" spans="1:22" x14ac:dyDescent="0.35">
      <c r="A3" t="s">
        <v>30</v>
      </c>
      <c r="B3">
        <v>4</v>
      </c>
      <c r="C3">
        <v>54</v>
      </c>
      <c r="D3">
        <v>54</v>
      </c>
      <c r="E3">
        <v>8</v>
      </c>
      <c r="F3">
        <v>3</v>
      </c>
      <c r="G3" t="b">
        <v>1</v>
      </c>
      <c r="H3" t="b">
        <v>1</v>
      </c>
      <c r="I3" t="b">
        <v>1</v>
      </c>
    </row>
    <row r="4" spans="1:22" x14ac:dyDescent="0.35">
      <c r="A4" t="s">
        <v>28</v>
      </c>
      <c r="B4">
        <v>2</v>
      </c>
      <c r="C4">
        <v>77</v>
      </c>
      <c r="D4">
        <v>78</v>
      </c>
      <c r="E4">
        <v>8</v>
      </c>
      <c r="F4">
        <v>1</v>
      </c>
      <c r="G4" t="b">
        <v>1</v>
      </c>
      <c r="H4" t="b">
        <v>1</v>
      </c>
      <c r="I4" t="b">
        <v>1</v>
      </c>
    </row>
    <row r="5" spans="1:22" x14ac:dyDescent="0.35">
      <c r="A5" t="s">
        <v>30</v>
      </c>
      <c r="B5">
        <v>4</v>
      </c>
      <c r="C5">
        <v>54</v>
      </c>
      <c r="D5">
        <v>54</v>
      </c>
      <c r="E5">
        <v>8</v>
      </c>
      <c r="F5">
        <v>3</v>
      </c>
      <c r="G5" t="b">
        <v>1</v>
      </c>
      <c r="H5" t="b">
        <v>1</v>
      </c>
      <c r="I5" t="b">
        <v>1</v>
      </c>
    </row>
    <row r="6" spans="1:22" x14ac:dyDescent="0.35">
      <c r="A6" t="s">
        <v>24</v>
      </c>
      <c r="B6">
        <v>1</v>
      </c>
      <c r="C6">
        <v>74</v>
      </c>
      <c r="D6">
        <v>76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35">
      <c r="A7" t="s">
        <v>30</v>
      </c>
      <c r="B7">
        <v>2</v>
      </c>
      <c r="C7">
        <v>21</v>
      </c>
      <c r="D7">
        <v>21</v>
      </c>
      <c r="E7">
        <v>7</v>
      </c>
      <c r="F7">
        <v>1</v>
      </c>
      <c r="G7" t="b">
        <v>1</v>
      </c>
      <c r="H7" t="b">
        <v>1</v>
      </c>
      <c r="I7" t="b">
        <v>1</v>
      </c>
    </row>
    <row r="8" spans="1:22" x14ac:dyDescent="0.35">
      <c r="A8" t="s">
        <v>32</v>
      </c>
      <c r="B8">
        <v>4</v>
      </c>
      <c r="C8">
        <v>116</v>
      </c>
      <c r="D8">
        <v>120</v>
      </c>
      <c r="E8">
        <v>15</v>
      </c>
      <c r="F8">
        <v>2</v>
      </c>
      <c r="G8" t="b">
        <v>1</v>
      </c>
      <c r="H8" t="b">
        <v>1</v>
      </c>
      <c r="I8" t="b">
        <v>1</v>
      </c>
    </row>
    <row r="9" spans="1:22" x14ac:dyDescent="0.35">
      <c r="A9" t="s">
        <v>37</v>
      </c>
      <c r="B9">
        <v>5</v>
      </c>
      <c r="C9">
        <v>87</v>
      </c>
      <c r="D9">
        <v>83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2" x14ac:dyDescent="0.35">
      <c r="A10" t="s">
        <v>31</v>
      </c>
      <c r="B10">
        <v>3</v>
      </c>
      <c r="C10">
        <v>84</v>
      </c>
      <c r="D10">
        <v>88</v>
      </c>
      <c r="E10">
        <v>5</v>
      </c>
      <c r="F10">
        <v>1</v>
      </c>
      <c r="G10" t="b">
        <v>1</v>
      </c>
      <c r="H10" t="b">
        <v>1</v>
      </c>
      <c r="I10" t="b">
        <v>1</v>
      </c>
    </row>
    <row r="11" spans="1:22" x14ac:dyDescent="0.35">
      <c r="A11" t="s">
        <v>33</v>
      </c>
      <c r="B11">
        <v>5</v>
      </c>
      <c r="C11">
        <v>104</v>
      </c>
      <c r="D11">
        <v>99</v>
      </c>
      <c r="E11">
        <v>16</v>
      </c>
      <c r="F11">
        <v>2</v>
      </c>
      <c r="G11" t="b">
        <v>1</v>
      </c>
      <c r="H11" t="b">
        <v>1</v>
      </c>
      <c r="I11" t="b">
        <v>1</v>
      </c>
    </row>
    <row r="12" spans="1:22" x14ac:dyDescent="0.35">
      <c r="A12" t="s">
        <v>35</v>
      </c>
      <c r="B12">
        <v>3</v>
      </c>
      <c r="C12">
        <v>85</v>
      </c>
      <c r="D12">
        <v>81</v>
      </c>
      <c r="E12">
        <v>7</v>
      </c>
      <c r="F12">
        <v>1</v>
      </c>
      <c r="G12" t="b">
        <v>1</v>
      </c>
      <c r="H12" t="b">
        <v>1</v>
      </c>
      <c r="I12" t="b">
        <v>1</v>
      </c>
    </row>
    <row r="13" spans="1:22" x14ac:dyDescent="0.35">
      <c r="A13" t="s">
        <v>35</v>
      </c>
      <c r="B13">
        <v>3</v>
      </c>
      <c r="C13">
        <v>131</v>
      </c>
      <c r="D13">
        <v>127</v>
      </c>
      <c r="E13">
        <v>7</v>
      </c>
      <c r="F13">
        <v>1</v>
      </c>
      <c r="G13" t="b">
        <v>1</v>
      </c>
      <c r="H13" t="b">
        <v>1</v>
      </c>
      <c r="I13" t="b">
        <v>1</v>
      </c>
    </row>
    <row r="14" spans="1:22" x14ac:dyDescent="0.35">
      <c r="A14" t="s">
        <v>40</v>
      </c>
      <c r="B14">
        <v>18</v>
      </c>
      <c r="C14">
        <v>328</v>
      </c>
      <c r="D14">
        <v>329</v>
      </c>
      <c r="E14">
        <v>7</v>
      </c>
      <c r="F14">
        <v>100021</v>
      </c>
      <c r="G14" t="b">
        <v>1</v>
      </c>
      <c r="H14" t="b">
        <v>1</v>
      </c>
      <c r="I14" t="b">
        <v>1</v>
      </c>
    </row>
    <row r="15" spans="1:22" x14ac:dyDescent="0.35">
      <c r="A15" t="s">
        <v>40</v>
      </c>
      <c r="B15">
        <v>18</v>
      </c>
      <c r="C15">
        <v>328</v>
      </c>
      <c r="D15">
        <v>329</v>
      </c>
      <c r="E15">
        <v>7</v>
      </c>
      <c r="F15">
        <v>100021</v>
      </c>
      <c r="G15" t="b">
        <v>1</v>
      </c>
      <c r="H15" t="b">
        <v>1</v>
      </c>
      <c r="I15" t="b">
        <v>1</v>
      </c>
    </row>
    <row r="16" spans="1:22" x14ac:dyDescent="0.35">
      <c r="A16" t="s">
        <v>39</v>
      </c>
      <c r="B16">
        <v>1</v>
      </c>
      <c r="C16">
        <v>324</v>
      </c>
      <c r="D16">
        <v>326</v>
      </c>
      <c r="E16">
        <v>4</v>
      </c>
      <c r="F16">
        <v>1</v>
      </c>
      <c r="G16" t="b">
        <v>1</v>
      </c>
      <c r="H16" t="b">
        <v>1</v>
      </c>
      <c r="I16" t="b">
        <v>1</v>
      </c>
    </row>
    <row r="17" spans="1:9" x14ac:dyDescent="0.35">
      <c r="A17" t="s">
        <v>40</v>
      </c>
      <c r="B17">
        <v>2</v>
      </c>
      <c r="C17">
        <v>328</v>
      </c>
      <c r="D17">
        <v>329</v>
      </c>
      <c r="E17">
        <v>7</v>
      </c>
      <c r="F17">
        <v>1</v>
      </c>
      <c r="G17" t="b">
        <v>1</v>
      </c>
      <c r="H17" t="b">
        <v>1</v>
      </c>
      <c r="I17" t="b">
        <v>1</v>
      </c>
    </row>
    <row r="18" spans="1:9" x14ac:dyDescent="0.35">
      <c r="A18" t="s">
        <v>39</v>
      </c>
      <c r="B18">
        <v>1</v>
      </c>
      <c r="C18">
        <v>324</v>
      </c>
      <c r="D18">
        <v>326</v>
      </c>
      <c r="E18">
        <v>4</v>
      </c>
      <c r="F18">
        <v>1</v>
      </c>
      <c r="G18" t="b">
        <v>1</v>
      </c>
      <c r="H18" t="b">
        <v>1</v>
      </c>
      <c r="I18" t="b">
        <v>1</v>
      </c>
    </row>
    <row r="19" spans="1:9" x14ac:dyDescent="0.35">
      <c r="A19" t="s">
        <v>40</v>
      </c>
      <c r="B19">
        <v>2</v>
      </c>
      <c r="C19">
        <v>328</v>
      </c>
      <c r="D19">
        <v>329</v>
      </c>
      <c r="E19">
        <v>7</v>
      </c>
      <c r="F19">
        <v>1</v>
      </c>
      <c r="G19" t="b">
        <v>1</v>
      </c>
      <c r="H19" t="b">
        <v>1</v>
      </c>
      <c r="I19" t="b">
        <v>1</v>
      </c>
    </row>
    <row r="20" spans="1:9" x14ac:dyDescent="0.35">
      <c r="A20" t="s">
        <v>46</v>
      </c>
      <c r="B20">
        <v>2</v>
      </c>
      <c r="C20">
        <v>48</v>
      </c>
      <c r="D20">
        <v>46</v>
      </c>
      <c r="E20">
        <v>9</v>
      </c>
      <c r="F20">
        <v>2</v>
      </c>
      <c r="G20" t="b">
        <v>1</v>
      </c>
      <c r="H20" t="b">
        <v>1</v>
      </c>
      <c r="I20" t="b">
        <v>1</v>
      </c>
    </row>
    <row r="21" spans="1:9" x14ac:dyDescent="0.35">
      <c r="A21" t="s">
        <v>44</v>
      </c>
      <c r="B21">
        <v>1</v>
      </c>
      <c r="C21">
        <v>44</v>
      </c>
      <c r="D21">
        <v>44</v>
      </c>
      <c r="E21">
        <v>5</v>
      </c>
      <c r="F21">
        <v>1</v>
      </c>
      <c r="G21" t="b">
        <v>1</v>
      </c>
      <c r="H21" t="b">
        <v>1</v>
      </c>
      <c r="I21" t="b">
        <v>1</v>
      </c>
    </row>
    <row r="22" spans="1:9" x14ac:dyDescent="0.35">
      <c r="A22" t="s">
        <v>45</v>
      </c>
      <c r="B22">
        <v>1</v>
      </c>
      <c r="C22">
        <v>45</v>
      </c>
      <c r="D22">
        <v>48</v>
      </c>
      <c r="E22">
        <v>2</v>
      </c>
      <c r="F22">
        <v>1</v>
      </c>
      <c r="G22" t="b">
        <v>1</v>
      </c>
      <c r="H22" t="b">
        <v>1</v>
      </c>
      <c r="I22" t="b">
        <v>1</v>
      </c>
    </row>
    <row r="23" spans="1:9" x14ac:dyDescent="0.35">
      <c r="A23" t="s">
        <v>47</v>
      </c>
      <c r="B23">
        <v>2</v>
      </c>
      <c r="C23">
        <v>240</v>
      </c>
      <c r="D23">
        <v>240</v>
      </c>
      <c r="E23">
        <v>5</v>
      </c>
      <c r="F23">
        <v>1</v>
      </c>
      <c r="G23" t="b">
        <v>1</v>
      </c>
      <c r="H23" t="b">
        <v>1</v>
      </c>
      <c r="I23" t="b">
        <v>1</v>
      </c>
    </row>
    <row r="24" spans="1:9" x14ac:dyDescent="0.35">
      <c r="A24" t="s">
        <v>35</v>
      </c>
      <c r="B24">
        <v>3</v>
      </c>
      <c r="C24">
        <v>178</v>
      </c>
      <c r="D24">
        <v>177</v>
      </c>
      <c r="E24">
        <v>7</v>
      </c>
      <c r="F24">
        <v>2</v>
      </c>
      <c r="G24" t="b">
        <v>1</v>
      </c>
      <c r="H24" t="b">
        <v>1</v>
      </c>
      <c r="I24" t="b">
        <v>1</v>
      </c>
    </row>
    <row r="25" spans="1:9" x14ac:dyDescent="0.35">
      <c r="A25" t="s">
        <v>35</v>
      </c>
      <c r="B25">
        <v>3</v>
      </c>
      <c r="C25">
        <v>178</v>
      </c>
      <c r="D25">
        <v>177</v>
      </c>
      <c r="E25">
        <v>7</v>
      </c>
      <c r="F25">
        <v>2</v>
      </c>
      <c r="G25" t="b">
        <v>1</v>
      </c>
      <c r="H25" t="b">
        <v>1</v>
      </c>
      <c r="I25" t="b">
        <v>1</v>
      </c>
    </row>
    <row r="26" spans="1:9" x14ac:dyDescent="0.35">
      <c r="A26" t="s">
        <v>49</v>
      </c>
      <c r="B26">
        <v>5</v>
      </c>
      <c r="C26">
        <v>289</v>
      </c>
      <c r="D26">
        <v>288</v>
      </c>
      <c r="E26">
        <v>11</v>
      </c>
      <c r="F26">
        <v>2</v>
      </c>
      <c r="G26" t="b">
        <v>1</v>
      </c>
      <c r="H26" t="b">
        <v>1</v>
      </c>
      <c r="I26" t="b">
        <v>1</v>
      </c>
    </row>
    <row r="27" spans="1:9" x14ac:dyDescent="0.35">
      <c r="A27" t="s">
        <v>51</v>
      </c>
      <c r="B27">
        <v>4</v>
      </c>
      <c r="C27">
        <v>288</v>
      </c>
      <c r="D27">
        <v>287</v>
      </c>
      <c r="E27">
        <v>10</v>
      </c>
      <c r="F27">
        <v>2</v>
      </c>
      <c r="G27" t="b">
        <v>1</v>
      </c>
      <c r="H27" t="b">
        <v>1</v>
      </c>
      <c r="I27" t="b">
        <v>1</v>
      </c>
    </row>
    <row r="28" spans="1:9" x14ac:dyDescent="0.35">
      <c r="A28" t="s">
        <v>49</v>
      </c>
      <c r="B28">
        <v>5</v>
      </c>
      <c r="C28">
        <v>289</v>
      </c>
      <c r="D28">
        <v>288</v>
      </c>
      <c r="E28">
        <v>11</v>
      </c>
      <c r="F28">
        <v>1</v>
      </c>
      <c r="G28" t="b">
        <v>1</v>
      </c>
      <c r="H28" t="b">
        <v>1</v>
      </c>
      <c r="I28" t="b">
        <v>1</v>
      </c>
    </row>
    <row r="29" spans="1:9" x14ac:dyDescent="0.35">
      <c r="A29" t="s">
        <v>53</v>
      </c>
      <c r="B29">
        <v>2</v>
      </c>
      <c r="C29">
        <v>290</v>
      </c>
      <c r="D29">
        <v>289</v>
      </c>
      <c r="E29">
        <v>12</v>
      </c>
      <c r="F29">
        <v>1</v>
      </c>
      <c r="G29" t="b">
        <v>1</v>
      </c>
      <c r="H29" t="b">
        <v>1</v>
      </c>
      <c r="I29" t="b">
        <v>1</v>
      </c>
    </row>
    <row r="30" spans="1:9" x14ac:dyDescent="0.35">
      <c r="A30" t="s">
        <v>53</v>
      </c>
      <c r="B30">
        <v>2</v>
      </c>
      <c r="C30">
        <v>488</v>
      </c>
      <c r="D30">
        <v>486</v>
      </c>
      <c r="E30">
        <v>13</v>
      </c>
      <c r="F30">
        <v>1</v>
      </c>
      <c r="G30" t="b">
        <v>1</v>
      </c>
      <c r="H30" t="b">
        <v>1</v>
      </c>
      <c r="I30" t="b">
        <v>1</v>
      </c>
    </row>
    <row r="31" spans="1:9" x14ac:dyDescent="0.35">
      <c r="A31" t="s">
        <v>52</v>
      </c>
      <c r="B31">
        <v>1</v>
      </c>
      <c r="C31">
        <v>323</v>
      </c>
      <c r="D31">
        <v>333</v>
      </c>
      <c r="E31">
        <v>1</v>
      </c>
      <c r="F31">
        <v>1</v>
      </c>
      <c r="G31" t="b">
        <v>1</v>
      </c>
      <c r="H31" t="b">
        <v>1</v>
      </c>
      <c r="I31" t="b">
        <v>1</v>
      </c>
    </row>
    <row r="32" spans="1:9" x14ac:dyDescent="0.35">
      <c r="A32" t="s">
        <v>53</v>
      </c>
      <c r="B32">
        <v>2</v>
      </c>
      <c r="C32">
        <v>488</v>
      </c>
      <c r="D32">
        <v>486</v>
      </c>
      <c r="E32">
        <v>13</v>
      </c>
      <c r="F32">
        <v>1</v>
      </c>
      <c r="G32" t="b">
        <v>1</v>
      </c>
      <c r="H32" t="b">
        <v>1</v>
      </c>
      <c r="I32" t="b">
        <v>1</v>
      </c>
    </row>
    <row r="33" spans="1:9" x14ac:dyDescent="0.35">
      <c r="A33" t="s">
        <v>52</v>
      </c>
      <c r="B33">
        <v>1</v>
      </c>
      <c r="C33">
        <v>323</v>
      </c>
      <c r="D33">
        <v>333</v>
      </c>
      <c r="E33">
        <v>1</v>
      </c>
      <c r="F33">
        <v>1</v>
      </c>
      <c r="G33" t="b">
        <v>1</v>
      </c>
      <c r="H33" t="b">
        <v>1</v>
      </c>
      <c r="I33" t="b">
        <v>1</v>
      </c>
    </row>
    <row r="34" spans="1:9" x14ac:dyDescent="0.35">
      <c r="A34" t="s">
        <v>56</v>
      </c>
      <c r="B34">
        <v>1</v>
      </c>
      <c r="C34">
        <v>532</v>
      </c>
      <c r="D34">
        <v>531</v>
      </c>
      <c r="E34">
        <v>8</v>
      </c>
      <c r="F34">
        <v>1</v>
      </c>
      <c r="G34" t="b">
        <v>1</v>
      </c>
      <c r="H34" t="b">
        <v>1</v>
      </c>
      <c r="I34" t="b">
        <v>1</v>
      </c>
    </row>
    <row r="35" spans="1:9" x14ac:dyDescent="0.35">
      <c r="A35" t="s">
        <v>56</v>
      </c>
      <c r="B35">
        <v>1</v>
      </c>
      <c r="C35">
        <v>326</v>
      </c>
      <c r="D35">
        <v>325</v>
      </c>
      <c r="E35">
        <v>7</v>
      </c>
      <c r="F35">
        <v>1</v>
      </c>
      <c r="G35" t="b">
        <v>1</v>
      </c>
      <c r="H35" t="b">
        <v>1</v>
      </c>
      <c r="I35" t="b">
        <v>1</v>
      </c>
    </row>
    <row r="36" spans="1:9" x14ac:dyDescent="0.35">
      <c r="A36" t="s">
        <v>52</v>
      </c>
      <c r="B36">
        <v>1</v>
      </c>
      <c r="C36">
        <v>323</v>
      </c>
      <c r="D36">
        <v>333</v>
      </c>
      <c r="E36">
        <v>1</v>
      </c>
      <c r="F36">
        <v>1</v>
      </c>
      <c r="G36" t="b">
        <v>1</v>
      </c>
      <c r="H36" t="b">
        <v>1</v>
      </c>
      <c r="I36" t="b">
        <v>1</v>
      </c>
    </row>
    <row r="37" spans="1:9" x14ac:dyDescent="0.35">
      <c r="A37" t="s">
        <v>56</v>
      </c>
      <c r="B37">
        <v>2</v>
      </c>
      <c r="C37">
        <v>480</v>
      </c>
      <c r="D37">
        <v>480</v>
      </c>
      <c r="E37">
        <v>7</v>
      </c>
      <c r="F37">
        <v>2</v>
      </c>
      <c r="G37" t="b">
        <v>1</v>
      </c>
      <c r="H37" t="b">
        <v>1</v>
      </c>
      <c r="I37" t="b">
        <v>1</v>
      </c>
    </row>
    <row r="38" spans="1:9" x14ac:dyDescent="0.35">
      <c r="A38" t="s">
        <v>51</v>
      </c>
      <c r="B38">
        <v>4</v>
      </c>
      <c r="C38">
        <v>288</v>
      </c>
      <c r="D38">
        <v>287</v>
      </c>
      <c r="E38">
        <v>10</v>
      </c>
      <c r="F38">
        <v>1</v>
      </c>
      <c r="G38" t="b">
        <v>1</v>
      </c>
      <c r="H38" t="b">
        <v>1</v>
      </c>
      <c r="I38" t="b">
        <v>1</v>
      </c>
    </row>
    <row r="39" spans="1:9" x14ac:dyDescent="0.35">
      <c r="A39" t="s">
        <v>47</v>
      </c>
      <c r="B39">
        <v>7</v>
      </c>
      <c r="C39">
        <v>531</v>
      </c>
      <c r="D39">
        <v>530</v>
      </c>
      <c r="E39">
        <v>7</v>
      </c>
      <c r="F39">
        <v>3</v>
      </c>
      <c r="G39" t="b">
        <v>1</v>
      </c>
      <c r="H39" t="b">
        <v>1</v>
      </c>
      <c r="I39" t="b">
        <v>1</v>
      </c>
    </row>
    <row r="40" spans="1:9" x14ac:dyDescent="0.35">
      <c r="A40" t="s">
        <v>54</v>
      </c>
      <c r="B40">
        <v>2</v>
      </c>
      <c r="C40">
        <v>535</v>
      </c>
      <c r="D40">
        <v>541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35">
      <c r="A41" t="s">
        <v>48</v>
      </c>
      <c r="B41">
        <v>11</v>
      </c>
      <c r="C41">
        <v>541</v>
      </c>
      <c r="D41">
        <v>538</v>
      </c>
      <c r="E41">
        <v>11</v>
      </c>
      <c r="F41">
        <v>3</v>
      </c>
      <c r="G41" t="b">
        <v>1</v>
      </c>
      <c r="H41" t="b">
        <v>1</v>
      </c>
      <c r="I41" t="b">
        <v>1</v>
      </c>
    </row>
    <row r="42" spans="1:9" x14ac:dyDescent="0.35">
      <c r="A42" t="s">
        <v>54</v>
      </c>
      <c r="B42">
        <v>1</v>
      </c>
      <c r="C42">
        <v>483</v>
      </c>
      <c r="D42">
        <v>489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35">
      <c r="A43" t="s">
        <v>35</v>
      </c>
      <c r="B43">
        <v>3</v>
      </c>
      <c r="C43">
        <v>178</v>
      </c>
      <c r="D43">
        <v>177</v>
      </c>
      <c r="E43">
        <v>7</v>
      </c>
      <c r="F43">
        <v>1</v>
      </c>
      <c r="G43" t="b">
        <v>1</v>
      </c>
      <c r="H43" t="b">
        <v>1</v>
      </c>
      <c r="I43" t="b">
        <v>1</v>
      </c>
    </row>
    <row r="44" spans="1:9" x14ac:dyDescent="0.35">
      <c r="A44" t="s">
        <v>35</v>
      </c>
      <c r="B44">
        <v>3</v>
      </c>
      <c r="C44">
        <v>117</v>
      </c>
      <c r="D44">
        <v>116</v>
      </c>
      <c r="E44">
        <v>7</v>
      </c>
      <c r="F44">
        <v>2</v>
      </c>
      <c r="G44" t="b">
        <v>1</v>
      </c>
      <c r="H44" t="b">
        <v>1</v>
      </c>
      <c r="I44" t="b">
        <v>1</v>
      </c>
    </row>
    <row r="45" spans="1:9" x14ac:dyDescent="0.35">
      <c r="A45" t="s">
        <v>51</v>
      </c>
      <c r="B45">
        <v>6</v>
      </c>
      <c r="C45">
        <v>289</v>
      </c>
      <c r="D45">
        <v>287</v>
      </c>
      <c r="E45">
        <v>11</v>
      </c>
      <c r="F45">
        <v>2</v>
      </c>
      <c r="G45" t="b">
        <v>1</v>
      </c>
      <c r="H45" t="b">
        <v>1</v>
      </c>
      <c r="I45" t="b">
        <v>1</v>
      </c>
    </row>
    <row r="46" spans="1:9" x14ac:dyDescent="0.35">
      <c r="A46" t="s">
        <v>49</v>
      </c>
      <c r="B46">
        <v>12</v>
      </c>
      <c r="C46">
        <v>290</v>
      </c>
      <c r="D46">
        <v>288</v>
      </c>
      <c r="E46">
        <v>12</v>
      </c>
      <c r="F46">
        <v>6</v>
      </c>
      <c r="G46" t="b">
        <v>1</v>
      </c>
      <c r="H46" t="b">
        <v>1</v>
      </c>
      <c r="I46" t="b">
        <v>1</v>
      </c>
    </row>
    <row r="47" spans="1:9" x14ac:dyDescent="0.35">
      <c r="A47" t="s">
        <v>51</v>
      </c>
      <c r="B47">
        <v>6</v>
      </c>
      <c r="C47">
        <v>289</v>
      </c>
      <c r="D47">
        <v>287</v>
      </c>
      <c r="E47">
        <v>11</v>
      </c>
      <c r="F47">
        <v>2</v>
      </c>
      <c r="G47" t="b">
        <v>1</v>
      </c>
      <c r="H47" t="b">
        <v>1</v>
      </c>
      <c r="I47" t="b">
        <v>1</v>
      </c>
    </row>
    <row r="48" spans="1:9" x14ac:dyDescent="0.35">
      <c r="A48" t="s">
        <v>49</v>
      </c>
      <c r="B48">
        <v>12</v>
      </c>
      <c r="C48">
        <v>290</v>
      </c>
      <c r="D48">
        <v>288</v>
      </c>
      <c r="E48">
        <v>12</v>
      </c>
      <c r="F48">
        <v>6</v>
      </c>
      <c r="G48" t="b">
        <v>1</v>
      </c>
      <c r="H48" t="b">
        <v>1</v>
      </c>
      <c r="I48" t="b">
        <v>1</v>
      </c>
    </row>
    <row r="49" spans="1:9" x14ac:dyDescent="0.35">
      <c r="A49" t="s">
        <v>51</v>
      </c>
      <c r="B49">
        <v>6</v>
      </c>
      <c r="C49">
        <v>289</v>
      </c>
      <c r="D49">
        <v>287</v>
      </c>
      <c r="E49">
        <v>11</v>
      </c>
      <c r="F49">
        <v>2</v>
      </c>
      <c r="G49" t="b">
        <v>1</v>
      </c>
      <c r="H49" t="b">
        <v>1</v>
      </c>
      <c r="I49" t="b">
        <v>1</v>
      </c>
    </row>
    <row r="50" spans="1:9" x14ac:dyDescent="0.35">
      <c r="A50" t="s">
        <v>49</v>
      </c>
      <c r="B50">
        <v>7</v>
      </c>
      <c r="C50">
        <v>290</v>
      </c>
      <c r="D50">
        <v>288</v>
      </c>
      <c r="E50">
        <v>12</v>
      </c>
      <c r="F50">
        <v>2</v>
      </c>
      <c r="G50" t="b">
        <v>1</v>
      </c>
      <c r="H50" t="b">
        <v>1</v>
      </c>
      <c r="I50" t="b">
        <v>1</v>
      </c>
    </row>
    <row r="51" spans="1:9" x14ac:dyDescent="0.35">
      <c r="A51" t="s">
        <v>53</v>
      </c>
      <c r="B51">
        <v>2</v>
      </c>
      <c r="C51">
        <v>182</v>
      </c>
      <c r="D51">
        <v>181</v>
      </c>
      <c r="E51">
        <v>12</v>
      </c>
      <c r="F51">
        <v>1</v>
      </c>
      <c r="G51" t="b">
        <v>1</v>
      </c>
      <c r="H51" t="b">
        <v>1</v>
      </c>
      <c r="I51" t="b">
        <v>1</v>
      </c>
    </row>
    <row r="52" spans="1:9" x14ac:dyDescent="0.35">
      <c r="A52" t="s">
        <v>53</v>
      </c>
      <c r="B52">
        <v>7</v>
      </c>
      <c r="C52">
        <v>191</v>
      </c>
      <c r="D52">
        <v>189</v>
      </c>
      <c r="E52">
        <v>13</v>
      </c>
      <c r="F52">
        <v>3</v>
      </c>
      <c r="G52" t="b">
        <v>1</v>
      </c>
      <c r="H52" t="b">
        <v>1</v>
      </c>
      <c r="I52" t="b">
        <v>1</v>
      </c>
    </row>
    <row r="53" spans="1:9" x14ac:dyDescent="0.35">
      <c r="A53" t="s">
        <v>52</v>
      </c>
      <c r="B53">
        <v>1</v>
      </c>
      <c r="C53">
        <v>206</v>
      </c>
      <c r="D53">
        <v>216</v>
      </c>
      <c r="E53">
        <v>1</v>
      </c>
      <c r="F53">
        <v>1</v>
      </c>
      <c r="G53" t="b">
        <v>1</v>
      </c>
      <c r="H53" t="b">
        <v>1</v>
      </c>
      <c r="I53" t="b">
        <v>1</v>
      </c>
    </row>
    <row r="54" spans="1:9" x14ac:dyDescent="0.35">
      <c r="A54" t="s">
        <v>61</v>
      </c>
      <c r="B54">
        <v>1</v>
      </c>
      <c r="C54">
        <v>274</v>
      </c>
      <c r="D54">
        <v>284</v>
      </c>
      <c r="E54">
        <v>2</v>
      </c>
      <c r="F54">
        <v>1</v>
      </c>
      <c r="G54" t="b">
        <v>1</v>
      </c>
      <c r="H54" t="b">
        <v>1</v>
      </c>
      <c r="I54" t="b">
        <v>1</v>
      </c>
    </row>
    <row r="55" spans="1:9" x14ac:dyDescent="0.35">
      <c r="A55" t="s">
        <v>53</v>
      </c>
      <c r="B55">
        <v>9</v>
      </c>
      <c r="C55">
        <v>286</v>
      </c>
      <c r="D55">
        <v>282</v>
      </c>
      <c r="E55">
        <v>19</v>
      </c>
      <c r="F55">
        <v>3</v>
      </c>
      <c r="G55" t="b">
        <v>1</v>
      </c>
      <c r="H55" t="b">
        <v>1</v>
      </c>
      <c r="I55" t="b">
        <v>1</v>
      </c>
    </row>
    <row r="56" spans="1:9" x14ac:dyDescent="0.35">
      <c r="A56" t="s">
        <v>62</v>
      </c>
      <c r="B56">
        <v>2</v>
      </c>
      <c r="C56">
        <v>275</v>
      </c>
      <c r="D56">
        <v>285</v>
      </c>
      <c r="E56">
        <v>3</v>
      </c>
      <c r="F56">
        <v>1</v>
      </c>
      <c r="G56" t="b">
        <v>1</v>
      </c>
      <c r="H56" t="b">
        <v>1</v>
      </c>
      <c r="I56" t="b">
        <v>1</v>
      </c>
    </row>
    <row r="57" spans="1:9" x14ac:dyDescent="0.35">
      <c r="A57" t="s">
        <v>53</v>
      </c>
      <c r="B57">
        <v>9</v>
      </c>
      <c r="C57">
        <v>286</v>
      </c>
      <c r="D57">
        <v>282</v>
      </c>
      <c r="E57">
        <v>19</v>
      </c>
      <c r="F57">
        <v>3</v>
      </c>
      <c r="G57" t="b">
        <v>1</v>
      </c>
      <c r="H57" t="b">
        <v>1</v>
      </c>
      <c r="I57" t="b">
        <v>1</v>
      </c>
    </row>
    <row r="58" spans="1:9" x14ac:dyDescent="0.35">
      <c r="A58" t="s">
        <v>52</v>
      </c>
      <c r="B58">
        <v>1</v>
      </c>
      <c r="C58">
        <v>206</v>
      </c>
      <c r="D58">
        <v>216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35">
      <c r="A59" t="s">
        <v>56</v>
      </c>
      <c r="B59">
        <v>9</v>
      </c>
      <c r="C59">
        <v>326</v>
      </c>
      <c r="D59">
        <v>325</v>
      </c>
      <c r="E59">
        <v>8</v>
      </c>
      <c r="F59">
        <v>3</v>
      </c>
      <c r="G59" t="b">
        <v>1</v>
      </c>
      <c r="H59" t="b">
        <v>1</v>
      </c>
      <c r="I59" t="b">
        <v>1</v>
      </c>
    </row>
    <row r="60" spans="1:9" x14ac:dyDescent="0.35">
      <c r="A60" t="s">
        <v>56</v>
      </c>
      <c r="B60">
        <v>1</v>
      </c>
      <c r="C60">
        <v>209</v>
      </c>
      <c r="D60">
        <v>208</v>
      </c>
      <c r="E60">
        <v>7</v>
      </c>
      <c r="F60">
        <v>1</v>
      </c>
      <c r="G60" t="b">
        <v>1</v>
      </c>
      <c r="H60" t="b">
        <v>1</v>
      </c>
      <c r="I60" t="b">
        <v>1</v>
      </c>
    </row>
    <row r="61" spans="1:9" x14ac:dyDescent="0.35">
      <c r="A61" t="s">
        <v>52</v>
      </c>
      <c r="B61">
        <v>1</v>
      </c>
      <c r="C61">
        <v>206</v>
      </c>
      <c r="D61">
        <v>216</v>
      </c>
      <c r="E61">
        <v>1</v>
      </c>
      <c r="F61">
        <v>1</v>
      </c>
      <c r="G61" t="b">
        <v>1</v>
      </c>
      <c r="H61" t="b">
        <v>1</v>
      </c>
      <c r="I61" t="b">
        <v>1</v>
      </c>
    </row>
    <row r="62" spans="1:9" x14ac:dyDescent="0.35">
      <c r="A62" t="s">
        <v>56</v>
      </c>
      <c r="B62">
        <v>2</v>
      </c>
      <c r="C62">
        <v>183</v>
      </c>
      <c r="D62">
        <v>183</v>
      </c>
      <c r="E62">
        <v>7</v>
      </c>
      <c r="F62">
        <v>2</v>
      </c>
      <c r="G62" t="b">
        <v>1</v>
      </c>
      <c r="H62" t="b">
        <v>1</v>
      </c>
      <c r="I62" t="b">
        <v>1</v>
      </c>
    </row>
    <row r="63" spans="1:9" x14ac:dyDescent="0.35">
      <c r="A63" t="s">
        <v>51</v>
      </c>
      <c r="B63">
        <v>4</v>
      </c>
      <c r="C63">
        <v>180</v>
      </c>
      <c r="D63">
        <v>179</v>
      </c>
      <c r="E63">
        <v>10</v>
      </c>
      <c r="F63">
        <v>1</v>
      </c>
      <c r="G63" t="b">
        <v>1</v>
      </c>
      <c r="H63" t="b">
        <v>1</v>
      </c>
      <c r="I63" t="b">
        <v>1</v>
      </c>
    </row>
    <row r="64" spans="1:9" x14ac:dyDescent="0.35">
      <c r="A64" t="s">
        <v>47</v>
      </c>
      <c r="B64">
        <v>7</v>
      </c>
      <c r="C64">
        <v>325</v>
      </c>
      <c r="D64">
        <v>324</v>
      </c>
      <c r="E64">
        <v>7</v>
      </c>
      <c r="F64">
        <v>3</v>
      </c>
      <c r="G64" t="b">
        <v>1</v>
      </c>
      <c r="H64" t="b">
        <v>1</v>
      </c>
      <c r="I64" t="b">
        <v>1</v>
      </c>
    </row>
    <row r="65" spans="1:9" x14ac:dyDescent="0.35">
      <c r="A65" t="s">
        <v>54</v>
      </c>
      <c r="B65">
        <v>2</v>
      </c>
      <c r="C65">
        <v>329</v>
      </c>
      <c r="D65">
        <v>335</v>
      </c>
      <c r="E65">
        <v>2</v>
      </c>
      <c r="F65">
        <v>1</v>
      </c>
      <c r="G65" t="b">
        <v>1</v>
      </c>
      <c r="H65" t="b">
        <v>1</v>
      </c>
      <c r="I65" t="b">
        <v>1</v>
      </c>
    </row>
    <row r="66" spans="1:9" x14ac:dyDescent="0.35">
      <c r="A66" t="s">
        <v>48</v>
      </c>
      <c r="B66">
        <v>11</v>
      </c>
      <c r="C66">
        <v>335</v>
      </c>
      <c r="D66">
        <v>332</v>
      </c>
      <c r="E66">
        <v>11</v>
      </c>
      <c r="F66">
        <v>3</v>
      </c>
      <c r="G66" t="b">
        <v>1</v>
      </c>
      <c r="H66" t="b">
        <v>1</v>
      </c>
      <c r="I66" t="b">
        <v>1</v>
      </c>
    </row>
    <row r="67" spans="1:9" x14ac:dyDescent="0.35">
      <c r="A67" t="s">
        <v>54</v>
      </c>
      <c r="B67">
        <v>1</v>
      </c>
      <c r="C67">
        <v>286</v>
      </c>
      <c r="D67">
        <v>292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35">
      <c r="A68" t="s">
        <v>47</v>
      </c>
      <c r="B68">
        <v>2</v>
      </c>
      <c r="C68">
        <v>137</v>
      </c>
      <c r="D68">
        <v>137</v>
      </c>
      <c r="E68">
        <v>5</v>
      </c>
      <c r="F68">
        <v>1</v>
      </c>
      <c r="G68" t="b">
        <v>1</v>
      </c>
      <c r="H68" t="b">
        <v>1</v>
      </c>
      <c r="I68" t="b">
        <v>1</v>
      </c>
    </row>
    <row r="69" spans="1:9" x14ac:dyDescent="0.35">
      <c r="A69" t="s">
        <v>35</v>
      </c>
      <c r="B69">
        <v>3</v>
      </c>
      <c r="C69">
        <v>178</v>
      </c>
      <c r="D69">
        <v>177</v>
      </c>
      <c r="E69">
        <v>7</v>
      </c>
      <c r="F69">
        <v>1</v>
      </c>
      <c r="G69" t="b">
        <v>1</v>
      </c>
      <c r="H69" t="b">
        <v>1</v>
      </c>
      <c r="I69" t="b">
        <v>1</v>
      </c>
    </row>
    <row r="70" spans="1:9" x14ac:dyDescent="0.35">
      <c r="A70" t="s">
        <v>35</v>
      </c>
      <c r="B70">
        <v>3</v>
      </c>
      <c r="C70">
        <v>117</v>
      </c>
      <c r="D70">
        <v>116</v>
      </c>
      <c r="E70">
        <v>7</v>
      </c>
      <c r="F70">
        <v>2</v>
      </c>
      <c r="G70" t="b">
        <v>1</v>
      </c>
      <c r="H70" t="b">
        <v>1</v>
      </c>
      <c r="I70" t="b">
        <v>1</v>
      </c>
    </row>
    <row r="71" spans="1:9" x14ac:dyDescent="0.35">
      <c r="A71" t="s">
        <v>51</v>
      </c>
      <c r="B71">
        <v>4</v>
      </c>
      <c r="C71">
        <v>180</v>
      </c>
      <c r="D71">
        <v>179</v>
      </c>
      <c r="E71">
        <v>10</v>
      </c>
      <c r="F71">
        <v>2</v>
      </c>
      <c r="G71" t="b">
        <v>1</v>
      </c>
      <c r="H71" t="b">
        <v>1</v>
      </c>
      <c r="I71" t="b">
        <v>1</v>
      </c>
    </row>
    <row r="72" spans="1:9" x14ac:dyDescent="0.35">
      <c r="A72" t="s">
        <v>49</v>
      </c>
      <c r="B72">
        <v>5</v>
      </c>
      <c r="C72">
        <v>181</v>
      </c>
      <c r="D72">
        <v>180</v>
      </c>
      <c r="E72">
        <v>11</v>
      </c>
      <c r="F72">
        <v>2</v>
      </c>
      <c r="G72" t="b">
        <v>1</v>
      </c>
      <c r="H72" t="b">
        <v>1</v>
      </c>
      <c r="I72" t="b">
        <v>1</v>
      </c>
    </row>
    <row r="73" spans="1:9" x14ac:dyDescent="0.35">
      <c r="A73" t="s">
        <v>51</v>
      </c>
      <c r="B73">
        <v>4</v>
      </c>
      <c r="C73">
        <v>180</v>
      </c>
      <c r="D73">
        <v>179</v>
      </c>
      <c r="E73">
        <v>10</v>
      </c>
      <c r="F73">
        <v>2</v>
      </c>
      <c r="G73" t="b">
        <v>1</v>
      </c>
      <c r="H73" t="b">
        <v>1</v>
      </c>
      <c r="I73" t="b">
        <v>1</v>
      </c>
    </row>
    <row r="74" spans="1:9" x14ac:dyDescent="0.35">
      <c r="A74" t="s">
        <v>49</v>
      </c>
      <c r="B74">
        <v>5</v>
      </c>
      <c r="C74">
        <v>181</v>
      </c>
      <c r="D74">
        <v>180</v>
      </c>
      <c r="E74">
        <v>11</v>
      </c>
      <c r="F74">
        <v>1</v>
      </c>
      <c r="G74" t="b">
        <v>1</v>
      </c>
      <c r="H74" t="b">
        <v>1</v>
      </c>
      <c r="I74" t="b">
        <v>1</v>
      </c>
    </row>
    <row r="75" spans="1:9" x14ac:dyDescent="0.35">
      <c r="A75" t="s">
        <v>53</v>
      </c>
      <c r="B75">
        <v>2</v>
      </c>
      <c r="C75">
        <v>182</v>
      </c>
      <c r="D75">
        <v>181</v>
      </c>
      <c r="E75">
        <v>12</v>
      </c>
      <c r="F75">
        <v>1</v>
      </c>
      <c r="G75" t="b">
        <v>1</v>
      </c>
      <c r="H75" t="b">
        <v>1</v>
      </c>
      <c r="I75" t="b">
        <v>1</v>
      </c>
    </row>
    <row r="76" spans="1:9" x14ac:dyDescent="0.35">
      <c r="A76" t="s">
        <v>53</v>
      </c>
      <c r="B76">
        <v>2</v>
      </c>
      <c r="C76">
        <v>191</v>
      </c>
      <c r="D76">
        <v>189</v>
      </c>
      <c r="E76">
        <v>13</v>
      </c>
      <c r="F76">
        <v>1</v>
      </c>
      <c r="G76" t="b">
        <v>1</v>
      </c>
      <c r="H76" t="b">
        <v>1</v>
      </c>
      <c r="I76" t="b">
        <v>1</v>
      </c>
    </row>
    <row r="77" spans="1:9" x14ac:dyDescent="0.35">
      <c r="A77" t="s">
        <v>53</v>
      </c>
      <c r="B77">
        <v>2</v>
      </c>
      <c r="C77">
        <v>182</v>
      </c>
      <c r="D77">
        <v>181</v>
      </c>
      <c r="E77">
        <v>12</v>
      </c>
      <c r="F77">
        <v>1</v>
      </c>
      <c r="G77" t="b">
        <v>1</v>
      </c>
      <c r="H77" t="b">
        <v>1</v>
      </c>
      <c r="I77" t="b">
        <v>1</v>
      </c>
    </row>
    <row r="78" spans="1:9" x14ac:dyDescent="0.35">
      <c r="A78" t="s">
        <v>53</v>
      </c>
      <c r="B78">
        <v>2</v>
      </c>
      <c r="C78">
        <v>191</v>
      </c>
      <c r="D78">
        <v>189</v>
      </c>
      <c r="E78">
        <v>13</v>
      </c>
      <c r="F78">
        <v>1</v>
      </c>
      <c r="G78" t="b">
        <v>1</v>
      </c>
      <c r="H78" t="b">
        <v>1</v>
      </c>
      <c r="I78" t="b">
        <v>1</v>
      </c>
    </row>
    <row r="79" spans="1:9" x14ac:dyDescent="0.35">
      <c r="A79" t="s">
        <v>52</v>
      </c>
      <c r="B79">
        <v>1</v>
      </c>
      <c r="C79">
        <v>206</v>
      </c>
      <c r="D79">
        <v>216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35">
      <c r="A80" t="s">
        <v>49</v>
      </c>
      <c r="B80">
        <v>6</v>
      </c>
      <c r="C80">
        <v>215</v>
      </c>
      <c r="D80">
        <v>213</v>
      </c>
      <c r="E80">
        <v>12</v>
      </c>
      <c r="F80">
        <v>2</v>
      </c>
      <c r="G80" t="b">
        <v>1</v>
      </c>
      <c r="H80" t="b">
        <v>1</v>
      </c>
      <c r="I80" t="b">
        <v>1</v>
      </c>
    </row>
    <row r="81" spans="1:9" x14ac:dyDescent="0.35">
      <c r="A81" t="s">
        <v>56</v>
      </c>
      <c r="B81">
        <v>1</v>
      </c>
      <c r="C81">
        <v>326</v>
      </c>
      <c r="D81">
        <v>325</v>
      </c>
      <c r="E81">
        <v>8</v>
      </c>
      <c r="F81">
        <v>1</v>
      </c>
      <c r="G81" t="b">
        <v>1</v>
      </c>
      <c r="H81" t="b">
        <v>1</v>
      </c>
      <c r="I81" t="b">
        <v>1</v>
      </c>
    </row>
    <row r="82" spans="1:9" x14ac:dyDescent="0.35">
      <c r="A82" t="s">
        <v>56</v>
      </c>
      <c r="B82">
        <v>1</v>
      </c>
      <c r="C82">
        <v>209</v>
      </c>
      <c r="D82">
        <v>208</v>
      </c>
      <c r="E82">
        <v>7</v>
      </c>
      <c r="F82">
        <v>1</v>
      </c>
      <c r="G82" t="b">
        <v>1</v>
      </c>
      <c r="H82" t="b">
        <v>1</v>
      </c>
      <c r="I82" t="b">
        <v>1</v>
      </c>
    </row>
    <row r="83" spans="1:9" x14ac:dyDescent="0.35">
      <c r="A83" t="s">
        <v>52</v>
      </c>
      <c r="B83">
        <v>1</v>
      </c>
      <c r="C83">
        <v>206</v>
      </c>
      <c r="D83">
        <v>216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35">
      <c r="A84" t="s">
        <v>49</v>
      </c>
      <c r="B84">
        <v>6</v>
      </c>
      <c r="C84">
        <v>215</v>
      </c>
      <c r="D84">
        <v>213</v>
      </c>
      <c r="E84">
        <v>12</v>
      </c>
      <c r="F84">
        <v>2</v>
      </c>
      <c r="G84" t="b">
        <v>1</v>
      </c>
      <c r="H84" t="b">
        <v>1</v>
      </c>
      <c r="I84" t="b">
        <v>1</v>
      </c>
    </row>
    <row r="85" spans="1:9" x14ac:dyDescent="0.35">
      <c r="A85" t="s">
        <v>56</v>
      </c>
      <c r="B85">
        <v>2</v>
      </c>
      <c r="C85">
        <v>183</v>
      </c>
      <c r="D85">
        <v>183</v>
      </c>
      <c r="E85">
        <v>7</v>
      </c>
      <c r="F85">
        <v>2</v>
      </c>
      <c r="G85" t="b">
        <v>1</v>
      </c>
      <c r="H85" t="b">
        <v>1</v>
      </c>
      <c r="I85" t="b">
        <v>1</v>
      </c>
    </row>
    <row r="86" spans="1:9" x14ac:dyDescent="0.35">
      <c r="A86" t="s">
        <v>51</v>
      </c>
      <c r="B86">
        <v>4</v>
      </c>
      <c r="C86">
        <v>180</v>
      </c>
      <c r="D86">
        <v>179</v>
      </c>
      <c r="E86">
        <v>10</v>
      </c>
      <c r="F86">
        <v>1</v>
      </c>
      <c r="G86" t="b">
        <v>1</v>
      </c>
      <c r="H86" t="b">
        <v>1</v>
      </c>
      <c r="I86" t="b">
        <v>1</v>
      </c>
    </row>
    <row r="87" spans="1:9" x14ac:dyDescent="0.35">
      <c r="A87" t="s">
        <v>56</v>
      </c>
      <c r="B87">
        <v>1</v>
      </c>
      <c r="C87">
        <v>326</v>
      </c>
      <c r="D87">
        <v>325</v>
      </c>
      <c r="E87">
        <v>8</v>
      </c>
      <c r="F87">
        <v>1</v>
      </c>
      <c r="G87" t="b">
        <v>1</v>
      </c>
      <c r="H87" t="b">
        <v>1</v>
      </c>
      <c r="I87" t="b">
        <v>1</v>
      </c>
    </row>
    <row r="88" spans="1:9" x14ac:dyDescent="0.35">
      <c r="A88" t="s">
        <v>52</v>
      </c>
      <c r="B88">
        <v>1</v>
      </c>
      <c r="C88">
        <v>323</v>
      </c>
      <c r="D88">
        <v>333</v>
      </c>
      <c r="E88">
        <v>1</v>
      </c>
      <c r="F88">
        <v>1</v>
      </c>
      <c r="G88" t="b">
        <v>1</v>
      </c>
      <c r="H88" t="b">
        <v>1</v>
      </c>
      <c r="I88" t="b">
        <v>1</v>
      </c>
    </row>
    <row r="89" spans="1:9" x14ac:dyDescent="0.35">
      <c r="A89" t="s">
        <v>54</v>
      </c>
      <c r="B89">
        <v>2</v>
      </c>
      <c r="C89">
        <v>329</v>
      </c>
      <c r="D89">
        <v>335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35">
      <c r="A90" t="s">
        <v>54</v>
      </c>
      <c r="B90">
        <v>1</v>
      </c>
      <c r="C90">
        <v>286</v>
      </c>
      <c r="D90">
        <v>292</v>
      </c>
      <c r="E90">
        <v>1</v>
      </c>
      <c r="F90">
        <v>1</v>
      </c>
      <c r="G90" t="b">
        <v>1</v>
      </c>
      <c r="H90" t="b">
        <v>1</v>
      </c>
      <c r="I90" t="b">
        <v>1</v>
      </c>
    </row>
    <row r="91" spans="1:9" x14ac:dyDescent="0.35">
      <c r="A91" t="s">
        <v>49</v>
      </c>
      <c r="B91">
        <v>6</v>
      </c>
      <c r="C91">
        <v>290</v>
      </c>
      <c r="D91">
        <v>288</v>
      </c>
      <c r="E91">
        <v>12</v>
      </c>
      <c r="F91">
        <v>2</v>
      </c>
      <c r="G91" t="b">
        <v>1</v>
      </c>
      <c r="H91" t="b">
        <v>1</v>
      </c>
      <c r="I91" t="b">
        <v>1</v>
      </c>
    </row>
    <row r="92" spans="1:9" x14ac:dyDescent="0.35">
      <c r="A92" t="s">
        <v>47</v>
      </c>
      <c r="B92">
        <v>2</v>
      </c>
      <c r="C92">
        <v>137</v>
      </c>
      <c r="D92">
        <v>137</v>
      </c>
      <c r="E92">
        <v>5</v>
      </c>
      <c r="F92">
        <v>1</v>
      </c>
      <c r="G92" t="b">
        <v>1</v>
      </c>
      <c r="H92" t="b">
        <v>1</v>
      </c>
      <c r="I92" t="b">
        <v>1</v>
      </c>
    </row>
    <row r="93" spans="1:9" x14ac:dyDescent="0.35">
      <c r="A93" t="s">
        <v>73</v>
      </c>
      <c r="B93">
        <v>2</v>
      </c>
      <c r="C93">
        <v>327</v>
      </c>
      <c r="D93">
        <v>326</v>
      </c>
      <c r="E93">
        <v>6</v>
      </c>
      <c r="F93">
        <v>1</v>
      </c>
      <c r="G93" t="b">
        <v>1</v>
      </c>
      <c r="H93" t="b">
        <v>1</v>
      </c>
      <c r="I93" t="b">
        <v>1</v>
      </c>
    </row>
    <row r="94" spans="1:9" x14ac:dyDescent="0.35">
      <c r="A94" t="s">
        <v>74</v>
      </c>
      <c r="B94">
        <v>4</v>
      </c>
      <c r="C94">
        <v>384</v>
      </c>
      <c r="D94">
        <v>384</v>
      </c>
      <c r="E94">
        <v>7</v>
      </c>
      <c r="F94">
        <v>2</v>
      </c>
      <c r="G94" t="b">
        <v>1</v>
      </c>
      <c r="H94" t="b">
        <v>1</v>
      </c>
      <c r="I94" t="b">
        <v>1</v>
      </c>
    </row>
    <row r="95" spans="1:9" x14ac:dyDescent="0.35">
      <c r="A95" t="s">
        <v>51</v>
      </c>
      <c r="B95">
        <v>6</v>
      </c>
      <c r="C95">
        <v>398</v>
      </c>
      <c r="D95">
        <v>393</v>
      </c>
      <c r="E95">
        <v>12</v>
      </c>
      <c r="F95">
        <v>1</v>
      </c>
      <c r="G95" t="b">
        <v>1</v>
      </c>
      <c r="H95" t="b">
        <v>1</v>
      </c>
      <c r="I95" t="b">
        <v>1</v>
      </c>
    </row>
    <row r="96" spans="1:9" x14ac:dyDescent="0.35">
      <c r="A96" t="s">
        <v>65</v>
      </c>
      <c r="B96">
        <v>4</v>
      </c>
      <c r="C96">
        <v>394</v>
      </c>
      <c r="D96">
        <v>390</v>
      </c>
      <c r="E96">
        <v>17</v>
      </c>
      <c r="F96">
        <v>1</v>
      </c>
      <c r="G96" t="b">
        <v>1</v>
      </c>
      <c r="H96" t="b">
        <v>1</v>
      </c>
      <c r="I96" t="b">
        <v>1</v>
      </c>
    </row>
    <row r="97" spans="1:9" x14ac:dyDescent="0.35">
      <c r="A97" t="s">
        <v>74</v>
      </c>
      <c r="B97">
        <v>4</v>
      </c>
      <c r="C97">
        <v>384</v>
      </c>
      <c r="D97">
        <v>384</v>
      </c>
      <c r="E97">
        <v>7</v>
      </c>
      <c r="F97">
        <v>2</v>
      </c>
      <c r="G97" t="b">
        <v>1</v>
      </c>
      <c r="H97" t="b">
        <v>1</v>
      </c>
      <c r="I97" t="b">
        <v>1</v>
      </c>
    </row>
    <row r="98" spans="1:9" x14ac:dyDescent="0.35">
      <c r="A98" t="s">
        <v>52</v>
      </c>
      <c r="B98">
        <v>3</v>
      </c>
      <c r="C98">
        <v>472</v>
      </c>
      <c r="D98">
        <v>482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35">
      <c r="A99" t="s">
        <v>69</v>
      </c>
      <c r="B99">
        <v>3</v>
      </c>
      <c r="C99">
        <v>437</v>
      </c>
      <c r="D99">
        <v>439</v>
      </c>
      <c r="E99">
        <v>17</v>
      </c>
      <c r="F99">
        <v>1</v>
      </c>
      <c r="G99" t="b">
        <v>1</v>
      </c>
      <c r="H99" t="b">
        <v>1</v>
      </c>
      <c r="I99" t="b">
        <v>1</v>
      </c>
    </row>
    <row r="100" spans="1:9" x14ac:dyDescent="0.35">
      <c r="A100" t="s">
        <v>54</v>
      </c>
      <c r="B100">
        <v>4</v>
      </c>
      <c r="C100">
        <v>433</v>
      </c>
      <c r="D100">
        <v>438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35">
      <c r="A101" t="s">
        <v>54</v>
      </c>
      <c r="B101">
        <v>4</v>
      </c>
      <c r="C101">
        <v>433</v>
      </c>
      <c r="D101">
        <v>438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35">
      <c r="A102" t="s">
        <v>51</v>
      </c>
      <c r="B102">
        <v>6</v>
      </c>
      <c r="C102">
        <v>439</v>
      </c>
      <c r="D102">
        <v>433</v>
      </c>
      <c r="E102">
        <v>13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35">
      <c r="A103" t="s">
        <v>68</v>
      </c>
      <c r="B103">
        <v>10</v>
      </c>
      <c r="C103">
        <v>544</v>
      </c>
      <c r="D103">
        <v>553</v>
      </c>
      <c r="E103">
        <v>16</v>
      </c>
      <c r="F103">
        <v>3</v>
      </c>
      <c r="G103" t="b">
        <v>1</v>
      </c>
      <c r="H103" t="b">
        <v>1</v>
      </c>
      <c r="I103" t="b">
        <v>1</v>
      </c>
    </row>
    <row r="104" spans="1:9" x14ac:dyDescent="0.35">
      <c r="A104" t="s">
        <v>69</v>
      </c>
      <c r="B104">
        <v>12</v>
      </c>
      <c r="C104">
        <v>555</v>
      </c>
      <c r="D104">
        <v>557</v>
      </c>
      <c r="E104">
        <v>17</v>
      </c>
      <c r="F104">
        <v>3</v>
      </c>
      <c r="G104" t="b">
        <v>1</v>
      </c>
      <c r="H104" t="b">
        <v>1</v>
      </c>
      <c r="I104" t="b">
        <v>1</v>
      </c>
    </row>
    <row r="105" spans="1:9" x14ac:dyDescent="0.35">
      <c r="A105" t="s">
        <v>69</v>
      </c>
      <c r="B105">
        <v>12</v>
      </c>
      <c r="C105">
        <v>555</v>
      </c>
      <c r="D105">
        <v>557</v>
      </c>
      <c r="E105">
        <v>17</v>
      </c>
      <c r="F105">
        <v>3</v>
      </c>
      <c r="G105" t="b">
        <v>1</v>
      </c>
      <c r="H105" t="b">
        <v>1</v>
      </c>
      <c r="I105" t="b">
        <v>1</v>
      </c>
    </row>
    <row r="106" spans="1:9" x14ac:dyDescent="0.35">
      <c r="A106" t="s">
        <v>69</v>
      </c>
      <c r="B106">
        <v>3</v>
      </c>
      <c r="C106">
        <v>662</v>
      </c>
      <c r="D106">
        <v>664</v>
      </c>
      <c r="E106">
        <v>18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35">
      <c r="A107" t="s">
        <v>69</v>
      </c>
      <c r="B107">
        <v>3</v>
      </c>
      <c r="C107">
        <v>662</v>
      </c>
      <c r="D107">
        <v>664</v>
      </c>
      <c r="E107">
        <v>18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35">
      <c r="A108" t="s">
        <v>76</v>
      </c>
      <c r="B108">
        <v>4</v>
      </c>
      <c r="C108">
        <v>559</v>
      </c>
      <c r="D108">
        <v>559</v>
      </c>
      <c r="E108">
        <v>14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35">
      <c r="A109" t="s">
        <v>68</v>
      </c>
      <c r="B109">
        <v>1</v>
      </c>
      <c r="C109">
        <v>544</v>
      </c>
      <c r="D109">
        <v>553</v>
      </c>
      <c r="E109">
        <v>16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35">
      <c r="A110" t="s">
        <v>76</v>
      </c>
      <c r="B110">
        <v>8</v>
      </c>
      <c r="C110">
        <v>559</v>
      </c>
      <c r="D110">
        <v>559</v>
      </c>
      <c r="E110">
        <v>14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35">
      <c r="A111" t="s">
        <v>73</v>
      </c>
      <c r="B111">
        <v>9</v>
      </c>
      <c r="C111">
        <v>387</v>
      </c>
      <c r="D111">
        <v>386</v>
      </c>
      <c r="E111">
        <v>6</v>
      </c>
      <c r="F111">
        <v>3</v>
      </c>
      <c r="G111" t="b">
        <v>1</v>
      </c>
      <c r="H111" t="b">
        <v>1</v>
      </c>
      <c r="I111" t="b">
        <v>1</v>
      </c>
    </row>
    <row r="112" spans="1:9" x14ac:dyDescent="0.35">
      <c r="A112" t="s">
        <v>51</v>
      </c>
      <c r="B112">
        <v>41</v>
      </c>
      <c r="C112">
        <v>398</v>
      </c>
      <c r="D112">
        <v>393</v>
      </c>
      <c r="E112">
        <v>12</v>
      </c>
      <c r="F112">
        <v>100021</v>
      </c>
      <c r="G112" t="b">
        <v>1</v>
      </c>
      <c r="H112" t="b">
        <v>1</v>
      </c>
      <c r="I112" t="b">
        <v>1</v>
      </c>
    </row>
    <row r="113" spans="1:9" x14ac:dyDescent="0.35">
      <c r="A113" t="s">
        <v>73</v>
      </c>
      <c r="B113">
        <v>10</v>
      </c>
      <c r="C113">
        <v>476</v>
      </c>
      <c r="D113">
        <v>474</v>
      </c>
      <c r="E113">
        <v>7</v>
      </c>
      <c r="F113">
        <v>3</v>
      </c>
      <c r="G113" t="b">
        <v>1</v>
      </c>
      <c r="H113" t="b">
        <v>1</v>
      </c>
      <c r="I113" t="b">
        <v>1</v>
      </c>
    </row>
    <row r="114" spans="1:9" x14ac:dyDescent="0.35">
      <c r="A114" t="s">
        <v>66</v>
      </c>
      <c r="B114">
        <v>2</v>
      </c>
      <c r="C114">
        <v>477</v>
      </c>
      <c r="D114">
        <v>484</v>
      </c>
      <c r="E114">
        <v>11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35">
      <c r="A115" t="s">
        <v>66</v>
      </c>
      <c r="B115">
        <v>2</v>
      </c>
      <c r="C115">
        <v>653</v>
      </c>
      <c r="D115">
        <v>660</v>
      </c>
      <c r="E115">
        <v>12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35">
      <c r="A116" t="s">
        <v>69</v>
      </c>
      <c r="B116">
        <v>3</v>
      </c>
      <c r="C116">
        <v>662</v>
      </c>
      <c r="D116">
        <v>664</v>
      </c>
      <c r="E116">
        <v>18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35">
      <c r="A117" t="s">
        <v>69</v>
      </c>
      <c r="B117">
        <v>3</v>
      </c>
      <c r="C117">
        <v>662</v>
      </c>
      <c r="D117">
        <v>664</v>
      </c>
      <c r="E117">
        <v>18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35">
      <c r="A118" t="s">
        <v>69</v>
      </c>
      <c r="B118">
        <v>3</v>
      </c>
      <c r="C118">
        <v>556</v>
      </c>
      <c r="D118">
        <v>558</v>
      </c>
      <c r="E118">
        <v>17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35">
      <c r="A119" t="s">
        <v>78</v>
      </c>
      <c r="B119">
        <v>5</v>
      </c>
      <c r="C119">
        <v>680</v>
      </c>
      <c r="D119">
        <v>680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35">
      <c r="A120" t="s">
        <v>284</v>
      </c>
      <c r="B120">
        <v>6</v>
      </c>
      <c r="C120">
        <v>681</v>
      </c>
      <c r="D120">
        <v>681</v>
      </c>
      <c r="E120">
        <v>3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35">
      <c r="A121" t="s">
        <v>54</v>
      </c>
      <c r="B121">
        <v>4</v>
      </c>
      <c r="C121">
        <v>671</v>
      </c>
      <c r="D121">
        <v>676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35">
      <c r="A122" t="s">
        <v>35</v>
      </c>
      <c r="B122">
        <v>15</v>
      </c>
      <c r="C122">
        <v>252</v>
      </c>
      <c r="D122">
        <v>248</v>
      </c>
      <c r="E122">
        <v>8</v>
      </c>
      <c r="F122">
        <v>100021</v>
      </c>
      <c r="G122" t="b">
        <v>1</v>
      </c>
      <c r="H122" t="b">
        <v>1</v>
      </c>
      <c r="I122" t="b">
        <v>1</v>
      </c>
    </row>
    <row r="123" spans="1:9" x14ac:dyDescent="0.35">
      <c r="A123" t="s">
        <v>66</v>
      </c>
      <c r="B123">
        <v>2</v>
      </c>
      <c r="C123">
        <v>1008</v>
      </c>
      <c r="D123">
        <v>1015</v>
      </c>
      <c r="E123">
        <v>18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35">
      <c r="A124" t="s">
        <v>66</v>
      </c>
      <c r="B124">
        <v>2</v>
      </c>
      <c r="C124">
        <v>1008</v>
      </c>
      <c r="D124">
        <v>1015</v>
      </c>
      <c r="E124">
        <v>18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35">
      <c r="A125" t="s">
        <v>54</v>
      </c>
      <c r="B125">
        <v>5</v>
      </c>
      <c r="C125">
        <v>530</v>
      </c>
      <c r="D125">
        <v>535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35">
      <c r="A126" t="s">
        <v>66</v>
      </c>
      <c r="B126">
        <v>2</v>
      </c>
      <c r="C126">
        <v>1008</v>
      </c>
      <c r="D126">
        <v>1015</v>
      </c>
      <c r="E126">
        <v>18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35">
      <c r="A127" t="s">
        <v>66</v>
      </c>
      <c r="B127">
        <v>2</v>
      </c>
      <c r="C127">
        <v>1008</v>
      </c>
      <c r="D127">
        <v>1015</v>
      </c>
      <c r="E127">
        <v>18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35">
      <c r="A128" t="s">
        <v>73</v>
      </c>
      <c r="B128">
        <v>2</v>
      </c>
      <c r="C128">
        <v>327</v>
      </c>
      <c r="D128">
        <v>326</v>
      </c>
      <c r="E128">
        <v>6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35">
      <c r="A129" t="s">
        <v>51</v>
      </c>
      <c r="B129">
        <v>9</v>
      </c>
      <c r="C129">
        <v>398</v>
      </c>
      <c r="D129">
        <v>393</v>
      </c>
      <c r="E129">
        <v>12</v>
      </c>
      <c r="F129">
        <v>2</v>
      </c>
      <c r="G129" t="b">
        <v>1</v>
      </c>
      <c r="H129" t="b">
        <v>1</v>
      </c>
      <c r="I129" t="b">
        <v>1</v>
      </c>
    </row>
    <row r="130" spans="1:9" x14ac:dyDescent="0.35">
      <c r="A130" t="s">
        <v>68</v>
      </c>
      <c r="B130">
        <v>1</v>
      </c>
      <c r="C130">
        <v>544</v>
      </c>
      <c r="D130">
        <v>553</v>
      </c>
      <c r="E130">
        <v>16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35">
      <c r="A131" t="s">
        <v>65</v>
      </c>
      <c r="B131">
        <v>7</v>
      </c>
      <c r="C131">
        <v>394</v>
      </c>
      <c r="D131">
        <v>390</v>
      </c>
      <c r="E131">
        <v>17</v>
      </c>
      <c r="F131">
        <v>2</v>
      </c>
      <c r="G131" t="b">
        <v>1</v>
      </c>
      <c r="H131" t="b">
        <v>1</v>
      </c>
      <c r="I131" t="b">
        <v>1</v>
      </c>
    </row>
    <row r="132" spans="1:9" x14ac:dyDescent="0.35">
      <c r="A132" t="s">
        <v>76</v>
      </c>
      <c r="B132">
        <v>4</v>
      </c>
      <c r="C132">
        <v>559</v>
      </c>
      <c r="D132">
        <v>559</v>
      </c>
      <c r="E132">
        <v>14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35">
      <c r="A133" t="s">
        <v>52</v>
      </c>
      <c r="B133">
        <v>3</v>
      </c>
      <c r="C133">
        <v>472</v>
      </c>
      <c r="D133">
        <v>482</v>
      </c>
      <c r="E133">
        <v>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35">
      <c r="A134" t="s">
        <v>69</v>
      </c>
      <c r="B134">
        <v>3</v>
      </c>
      <c r="C134">
        <v>437</v>
      </c>
      <c r="D134">
        <v>439</v>
      </c>
      <c r="E134">
        <v>17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35">
      <c r="A135" t="s">
        <v>51</v>
      </c>
      <c r="B135">
        <v>9</v>
      </c>
      <c r="C135">
        <v>398</v>
      </c>
      <c r="D135">
        <v>393</v>
      </c>
      <c r="E135">
        <v>12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35">
      <c r="A136" t="s">
        <v>69</v>
      </c>
      <c r="B136">
        <v>3</v>
      </c>
      <c r="C136">
        <v>556</v>
      </c>
      <c r="D136">
        <v>558</v>
      </c>
      <c r="E136">
        <v>17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35">
      <c r="A137" t="s">
        <v>69</v>
      </c>
      <c r="B137">
        <v>3</v>
      </c>
      <c r="C137">
        <v>556</v>
      </c>
      <c r="D137">
        <v>558</v>
      </c>
      <c r="E137">
        <v>17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35">
      <c r="A138" t="s">
        <v>69</v>
      </c>
      <c r="B138">
        <v>3</v>
      </c>
      <c r="C138">
        <v>556</v>
      </c>
      <c r="D138">
        <v>558</v>
      </c>
      <c r="E138">
        <v>17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35">
      <c r="A139" t="s">
        <v>69</v>
      </c>
      <c r="B139">
        <v>7</v>
      </c>
      <c r="C139">
        <v>556</v>
      </c>
      <c r="D139">
        <v>558</v>
      </c>
      <c r="E139">
        <v>17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35">
      <c r="A140" t="s">
        <v>69</v>
      </c>
      <c r="B140">
        <v>3</v>
      </c>
      <c r="C140">
        <v>797</v>
      </c>
      <c r="D140">
        <v>799</v>
      </c>
      <c r="E140">
        <v>20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35">
      <c r="A141" t="s">
        <v>69</v>
      </c>
      <c r="B141">
        <v>3</v>
      </c>
      <c r="C141">
        <v>797</v>
      </c>
      <c r="D141">
        <v>799</v>
      </c>
      <c r="E141">
        <v>20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35">
      <c r="A142" t="s">
        <v>69</v>
      </c>
      <c r="B142">
        <v>3</v>
      </c>
      <c r="C142">
        <v>797</v>
      </c>
      <c r="D142">
        <v>799</v>
      </c>
      <c r="E142">
        <v>20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35">
      <c r="A143" t="s">
        <v>69</v>
      </c>
      <c r="B143">
        <v>3</v>
      </c>
      <c r="C143">
        <v>797</v>
      </c>
      <c r="D143">
        <v>799</v>
      </c>
      <c r="E143">
        <v>20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35">
      <c r="A144" t="s">
        <v>76</v>
      </c>
      <c r="B144">
        <v>4</v>
      </c>
      <c r="C144">
        <v>559</v>
      </c>
      <c r="D144">
        <v>559</v>
      </c>
      <c r="E144">
        <v>14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35">
      <c r="A145" t="s">
        <v>68</v>
      </c>
      <c r="B145">
        <v>1</v>
      </c>
      <c r="C145">
        <v>544</v>
      </c>
      <c r="D145">
        <v>553</v>
      </c>
      <c r="E145">
        <v>16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35">
      <c r="A146" t="s">
        <v>54</v>
      </c>
      <c r="B146">
        <v>4</v>
      </c>
      <c r="C146">
        <v>552</v>
      </c>
      <c r="D146">
        <v>557</v>
      </c>
      <c r="E146">
        <v>1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35">
      <c r="A147" t="s">
        <v>66</v>
      </c>
      <c r="B147">
        <v>2</v>
      </c>
      <c r="C147">
        <v>477</v>
      </c>
      <c r="D147">
        <v>484</v>
      </c>
      <c r="E147">
        <v>11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35">
      <c r="A148" t="s">
        <v>51</v>
      </c>
      <c r="B148">
        <v>8</v>
      </c>
      <c r="C148">
        <v>487</v>
      </c>
      <c r="D148">
        <v>481</v>
      </c>
      <c r="E148">
        <v>13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35">
      <c r="A149" t="s">
        <v>73</v>
      </c>
      <c r="B149">
        <v>10</v>
      </c>
      <c r="C149">
        <v>476</v>
      </c>
      <c r="D149">
        <v>474</v>
      </c>
      <c r="E149">
        <v>7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35">
      <c r="A150" t="s">
        <v>52</v>
      </c>
      <c r="B150">
        <v>3</v>
      </c>
      <c r="C150">
        <v>472</v>
      </c>
      <c r="D150">
        <v>482</v>
      </c>
      <c r="E150">
        <v>1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35">
      <c r="A151" t="s">
        <v>66</v>
      </c>
      <c r="B151">
        <v>2</v>
      </c>
      <c r="C151">
        <v>477</v>
      </c>
      <c r="D151">
        <v>484</v>
      </c>
      <c r="E151">
        <v>11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35">
      <c r="A152" t="s">
        <v>66</v>
      </c>
      <c r="B152">
        <v>2</v>
      </c>
      <c r="C152">
        <v>653</v>
      </c>
      <c r="D152">
        <v>660</v>
      </c>
      <c r="E152">
        <v>12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35">
      <c r="A153" t="s">
        <v>69</v>
      </c>
      <c r="B153">
        <v>3</v>
      </c>
      <c r="C153">
        <v>662</v>
      </c>
      <c r="D153">
        <v>664</v>
      </c>
      <c r="E153">
        <v>18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35">
      <c r="A154" t="s">
        <v>69</v>
      </c>
      <c r="B154">
        <v>3</v>
      </c>
      <c r="C154">
        <v>662</v>
      </c>
      <c r="D154">
        <v>664</v>
      </c>
      <c r="E154">
        <v>18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35">
      <c r="A155" t="s">
        <v>69</v>
      </c>
      <c r="B155">
        <v>3</v>
      </c>
      <c r="C155">
        <v>556</v>
      </c>
      <c r="D155">
        <v>558</v>
      </c>
      <c r="E155">
        <v>17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35">
      <c r="A156" t="s">
        <v>78</v>
      </c>
      <c r="B156">
        <v>5</v>
      </c>
      <c r="C156">
        <v>680</v>
      </c>
      <c r="D156">
        <v>680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35">
      <c r="A157" t="s">
        <v>284</v>
      </c>
      <c r="B157">
        <v>6</v>
      </c>
      <c r="C157">
        <v>681</v>
      </c>
      <c r="D157">
        <v>681</v>
      </c>
      <c r="E157">
        <v>3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35">
      <c r="A158" t="s">
        <v>54</v>
      </c>
      <c r="B158">
        <v>4</v>
      </c>
      <c r="C158">
        <v>671</v>
      </c>
      <c r="D158">
        <v>676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35">
      <c r="A159" t="s">
        <v>35</v>
      </c>
      <c r="B159">
        <v>15</v>
      </c>
      <c r="C159">
        <v>252</v>
      </c>
      <c r="D159">
        <v>248</v>
      </c>
      <c r="E159">
        <v>8</v>
      </c>
      <c r="F159">
        <v>100021</v>
      </c>
      <c r="G159" t="b">
        <v>1</v>
      </c>
      <c r="H159" t="b">
        <v>1</v>
      </c>
      <c r="I159" t="b">
        <v>1</v>
      </c>
    </row>
    <row r="160" spans="1:9" x14ac:dyDescent="0.35">
      <c r="A160" t="s">
        <v>66</v>
      </c>
      <c r="B160">
        <v>2</v>
      </c>
      <c r="C160">
        <v>1008</v>
      </c>
      <c r="D160">
        <v>1015</v>
      </c>
      <c r="E160">
        <v>18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35">
      <c r="A161" t="s">
        <v>66</v>
      </c>
      <c r="B161">
        <v>2</v>
      </c>
      <c r="C161">
        <v>1008</v>
      </c>
      <c r="D161">
        <v>1015</v>
      </c>
      <c r="E161">
        <v>18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35">
      <c r="A162" t="s">
        <v>66</v>
      </c>
      <c r="B162">
        <v>2</v>
      </c>
      <c r="C162">
        <v>1008</v>
      </c>
      <c r="D162">
        <v>1015</v>
      </c>
      <c r="E162">
        <v>18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35">
      <c r="A163" t="s">
        <v>69</v>
      </c>
      <c r="B163">
        <v>3</v>
      </c>
      <c r="C163">
        <v>485</v>
      </c>
      <c r="D163">
        <v>487</v>
      </c>
      <c r="E163">
        <v>17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35">
      <c r="A164" t="s">
        <v>54</v>
      </c>
      <c r="B164">
        <v>5</v>
      </c>
      <c r="C164">
        <v>530</v>
      </c>
      <c r="D164">
        <v>535</v>
      </c>
      <c r="E164">
        <v>2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35">
      <c r="A165" t="s">
        <v>66</v>
      </c>
      <c r="B165">
        <v>2</v>
      </c>
      <c r="C165">
        <v>1008</v>
      </c>
      <c r="D165">
        <v>1015</v>
      </c>
      <c r="E165">
        <v>18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35">
      <c r="A166" t="s">
        <v>90</v>
      </c>
      <c r="B166">
        <v>2</v>
      </c>
      <c r="C166">
        <v>84</v>
      </c>
      <c r="D166">
        <v>87</v>
      </c>
      <c r="E166">
        <v>16</v>
      </c>
      <c r="F166">
        <v>2</v>
      </c>
      <c r="G166" t="b">
        <v>1</v>
      </c>
      <c r="H166" t="b">
        <v>1</v>
      </c>
      <c r="I166" t="b">
        <v>1</v>
      </c>
    </row>
    <row r="167" spans="1:9" x14ac:dyDescent="0.35">
      <c r="A167" t="s">
        <v>92</v>
      </c>
      <c r="B167">
        <v>2</v>
      </c>
      <c r="C167">
        <v>97</v>
      </c>
      <c r="D167">
        <v>97</v>
      </c>
      <c r="E167">
        <v>11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35">
      <c r="A168" t="s">
        <v>90</v>
      </c>
      <c r="B168">
        <v>2</v>
      </c>
      <c r="C168">
        <v>245</v>
      </c>
      <c r="D168">
        <v>248</v>
      </c>
      <c r="E168">
        <v>19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35">
      <c r="A169" t="s">
        <v>92</v>
      </c>
      <c r="B169">
        <v>1</v>
      </c>
      <c r="C169">
        <v>96</v>
      </c>
      <c r="D169">
        <v>96</v>
      </c>
      <c r="E169">
        <v>11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35">
      <c r="A170" t="s">
        <v>97</v>
      </c>
      <c r="B170">
        <v>4</v>
      </c>
      <c r="C170">
        <v>223</v>
      </c>
      <c r="D170">
        <v>224</v>
      </c>
      <c r="E170">
        <v>14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35">
      <c r="A171" t="s">
        <v>98</v>
      </c>
      <c r="B171">
        <v>2</v>
      </c>
      <c r="C171">
        <v>216</v>
      </c>
      <c r="D171">
        <v>220</v>
      </c>
      <c r="E171">
        <v>13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35">
      <c r="A172" t="s">
        <v>99</v>
      </c>
      <c r="B172">
        <v>3</v>
      </c>
      <c r="C172">
        <v>167</v>
      </c>
      <c r="D172">
        <v>164</v>
      </c>
      <c r="E172">
        <v>9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35">
      <c r="A173" t="s">
        <v>101</v>
      </c>
      <c r="B173">
        <v>4</v>
      </c>
      <c r="C173">
        <v>218</v>
      </c>
      <c r="D173">
        <v>221</v>
      </c>
      <c r="E173">
        <v>12</v>
      </c>
      <c r="F173">
        <v>2</v>
      </c>
      <c r="G173" t="b">
        <v>1</v>
      </c>
      <c r="H173" t="b">
        <v>1</v>
      </c>
      <c r="I173" t="b">
        <v>1</v>
      </c>
    </row>
    <row r="174" spans="1:9" x14ac:dyDescent="0.35">
      <c r="A174" t="s">
        <v>98</v>
      </c>
      <c r="B174">
        <v>2</v>
      </c>
      <c r="C174">
        <v>216</v>
      </c>
      <c r="D174">
        <v>220</v>
      </c>
      <c r="E174">
        <v>13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35">
      <c r="A175" t="s">
        <v>101</v>
      </c>
      <c r="B175">
        <v>3</v>
      </c>
      <c r="C175">
        <v>413</v>
      </c>
      <c r="D175">
        <v>416</v>
      </c>
      <c r="E175">
        <v>18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35">
      <c r="A176" t="s">
        <v>101</v>
      </c>
      <c r="B176">
        <v>3</v>
      </c>
      <c r="C176">
        <v>413</v>
      </c>
      <c r="D176">
        <v>416</v>
      </c>
      <c r="E176">
        <v>18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35">
      <c r="A177" t="s">
        <v>100</v>
      </c>
      <c r="B177">
        <v>1</v>
      </c>
      <c r="C177">
        <v>407</v>
      </c>
      <c r="D177">
        <v>413</v>
      </c>
      <c r="E177">
        <v>6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35">
      <c r="A178" t="s">
        <v>100</v>
      </c>
      <c r="B178">
        <v>1</v>
      </c>
      <c r="C178">
        <v>407</v>
      </c>
      <c r="D178">
        <v>413</v>
      </c>
      <c r="E178">
        <v>6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35">
      <c r="A179" t="s">
        <v>97</v>
      </c>
      <c r="B179">
        <v>4</v>
      </c>
      <c r="C179">
        <v>223</v>
      </c>
      <c r="D179">
        <v>224</v>
      </c>
      <c r="E179">
        <v>14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35">
      <c r="A180" t="s">
        <v>97</v>
      </c>
      <c r="B180">
        <v>4</v>
      </c>
      <c r="C180">
        <v>223</v>
      </c>
      <c r="D180">
        <v>224</v>
      </c>
      <c r="E180">
        <v>14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35">
      <c r="A181" t="s">
        <v>98</v>
      </c>
      <c r="B181">
        <v>2</v>
      </c>
      <c r="C181">
        <v>411</v>
      </c>
      <c r="D181">
        <v>415</v>
      </c>
      <c r="E181">
        <v>21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35">
      <c r="A182" t="s">
        <v>98</v>
      </c>
      <c r="B182">
        <v>5</v>
      </c>
      <c r="C182">
        <v>411</v>
      </c>
      <c r="D182">
        <v>415</v>
      </c>
      <c r="E182">
        <v>21</v>
      </c>
      <c r="F182">
        <v>2</v>
      </c>
      <c r="G182" t="b">
        <v>1</v>
      </c>
      <c r="H182" t="b">
        <v>1</v>
      </c>
      <c r="I182" t="b">
        <v>1</v>
      </c>
    </row>
    <row r="183" spans="1:9" x14ac:dyDescent="0.35">
      <c r="A183" t="s">
        <v>99</v>
      </c>
      <c r="B183">
        <v>2</v>
      </c>
      <c r="C183">
        <v>255</v>
      </c>
      <c r="D183">
        <v>252</v>
      </c>
      <c r="E183">
        <v>9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35">
      <c r="A184" t="s">
        <v>104</v>
      </c>
      <c r="B184">
        <v>1</v>
      </c>
      <c r="C184">
        <v>691</v>
      </c>
      <c r="D184">
        <v>694</v>
      </c>
      <c r="E184">
        <v>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35">
      <c r="A185" t="s">
        <v>104</v>
      </c>
      <c r="B185">
        <v>1</v>
      </c>
      <c r="C185">
        <v>691</v>
      </c>
      <c r="D185">
        <v>694</v>
      </c>
      <c r="E185">
        <v>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35">
      <c r="A186" t="s">
        <v>109</v>
      </c>
      <c r="B186">
        <v>3</v>
      </c>
      <c r="C186">
        <v>493</v>
      </c>
      <c r="D186">
        <v>494</v>
      </c>
      <c r="E186">
        <v>4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35">
      <c r="A187" t="s">
        <v>104</v>
      </c>
      <c r="B187">
        <v>1</v>
      </c>
      <c r="C187">
        <v>487</v>
      </c>
      <c r="D187">
        <v>490</v>
      </c>
      <c r="E187">
        <v>7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35">
      <c r="A188" t="s">
        <v>104</v>
      </c>
      <c r="B188">
        <v>2</v>
      </c>
      <c r="C188">
        <v>487</v>
      </c>
      <c r="D188">
        <v>490</v>
      </c>
      <c r="E188">
        <v>7</v>
      </c>
      <c r="F188">
        <v>2</v>
      </c>
      <c r="G188" t="b">
        <v>1</v>
      </c>
      <c r="H188" t="b">
        <v>1</v>
      </c>
      <c r="I188" t="b">
        <v>1</v>
      </c>
    </row>
    <row r="189" spans="1:9" x14ac:dyDescent="0.35">
      <c r="A189" t="s">
        <v>111</v>
      </c>
      <c r="B189">
        <v>1</v>
      </c>
      <c r="C189">
        <v>171</v>
      </c>
      <c r="D189">
        <v>173</v>
      </c>
      <c r="E189">
        <v>7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35">
      <c r="A190" t="s">
        <v>117</v>
      </c>
      <c r="B190">
        <v>2</v>
      </c>
      <c r="C190">
        <v>173</v>
      </c>
      <c r="D190">
        <v>174</v>
      </c>
      <c r="E190">
        <v>4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35">
      <c r="A191" t="s">
        <v>117</v>
      </c>
      <c r="B191">
        <v>2</v>
      </c>
      <c r="C191">
        <v>173</v>
      </c>
      <c r="D191">
        <v>174</v>
      </c>
      <c r="E191">
        <v>4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35">
      <c r="A192" t="s">
        <v>111</v>
      </c>
      <c r="B192">
        <v>1</v>
      </c>
      <c r="C192">
        <v>171</v>
      </c>
      <c r="D192">
        <v>173</v>
      </c>
      <c r="E192">
        <v>7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35">
      <c r="A193" t="s">
        <v>111</v>
      </c>
      <c r="B193">
        <v>13</v>
      </c>
      <c r="C193">
        <v>171</v>
      </c>
      <c r="D193">
        <v>173</v>
      </c>
      <c r="E193">
        <v>7</v>
      </c>
      <c r="F193">
        <v>100021</v>
      </c>
      <c r="G193" t="b">
        <v>1</v>
      </c>
      <c r="H193" t="b">
        <v>1</v>
      </c>
      <c r="I193" t="b">
        <v>1</v>
      </c>
    </row>
    <row r="194" spans="1:9" x14ac:dyDescent="0.35">
      <c r="A194" t="s">
        <v>112</v>
      </c>
      <c r="B194">
        <v>3</v>
      </c>
      <c r="C194">
        <v>175</v>
      </c>
      <c r="D194">
        <v>175</v>
      </c>
      <c r="E194">
        <v>12</v>
      </c>
      <c r="F194">
        <v>2</v>
      </c>
      <c r="G194" t="b">
        <v>1</v>
      </c>
      <c r="H194" t="b">
        <v>1</v>
      </c>
      <c r="I194" t="b">
        <v>1</v>
      </c>
    </row>
    <row r="195" spans="1:9" x14ac:dyDescent="0.35">
      <c r="A195" t="s">
        <v>117</v>
      </c>
      <c r="B195">
        <v>2</v>
      </c>
      <c r="C195">
        <v>249</v>
      </c>
      <c r="D195">
        <v>250</v>
      </c>
      <c r="E195">
        <v>5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35">
      <c r="A196" t="s">
        <v>123</v>
      </c>
      <c r="B196">
        <v>4</v>
      </c>
      <c r="C196">
        <v>179</v>
      </c>
      <c r="D196">
        <v>184</v>
      </c>
      <c r="E196">
        <v>18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35">
      <c r="A197" t="s">
        <v>122</v>
      </c>
      <c r="B197">
        <v>2</v>
      </c>
      <c r="C197">
        <v>175</v>
      </c>
      <c r="D197">
        <v>181</v>
      </c>
      <c r="E197">
        <v>17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35">
      <c r="A198" t="s">
        <v>124</v>
      </c>
      <c r="B198">
        <v>3</v>
      </c>
      <c r="C198">
        <v>163</v>
      </c>
      <c r="D198">
        <v>169</v>
      </c>
      <c r="E198">
        <v>21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35">
      <c r="A199" t="s">
        <v>119</v>
      </c>
      <c r="B199">
        <v>1</v>
      </c>
      <c r="C199">
        <v>160</v>
      </c>
      <c r="D199">
        <v>167</v>
      </c>
      <c r="E199">
        <v>13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35">
      <c r="A200" t="s">
        <v>119</v>
      </c>
      <c r="B200">
        <v>1</v>
      </c>
      <c r="C200">
        <v>160</v>
      </c>
      <c r="D200">
        <v>167</v>
      </c>
      <c r="E200">
        <v>13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35">
      <c r="A201" t="s">
        <v>35</v>
      </c>
      <c r="B201">
        <v>3</v>
      </c>
      <c r="C201">
        <v>131</v>
      </c>
      <c r="D201">
        <v>126</v>
      </c>
      <c r="E201">
        <v>5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35">
      <c r="A202" t="s">
        <v>35</v>
      </c>
      <c r="B202">
        <v>3</v>
      </c>
      <c r="C202">
        <v>131</v>
      </c>
      <c r="D202">
        <v>126</v>
      </c>
      <c r="E202">
        <v>5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35">
      <c r="A203" t="s">
        <v>129</v>
      </c>
      <c r="B203">
        <v>1</v>
      </c>
      <c r="C203">
        <v>46</v>
      </c>
      <c r="D203">
        <v>45</v>
      </c>
      <c r="E203">
        <v>16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35">
      <c r="A204" t="s">
        <v>132</v>
      </c>
      <c r="B204">
        <v>2</v>
      </c>
      <c r="C204">
        <v>330</v>
      </c>
      <c r="D204">
        <v>331</v>
      </c>
      <c r="E204">
        <v>9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35">
      <c r="A205" t="s">
        <v>133</v>
      </c>
      <c r="B205">
        <v>1</v>
      </c>
      <c r="C205">
        <v>329</v>
      </c>
      <c r="D205">
        <v>330</v>
      </c>
      <c r="E205">
        <v>8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35">
      <c r="A206" t="s">
        <v>133</v>
      </c>
      <c r="B206">
        <v>1</v>
      </c>
      <c r="C206">
        <v>493</v>
      </c>
      <c r="D206">
        <v>494</v>
      </c>
      <c r="E206">
        <v>13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35">
      <c r="A207" t="s">
        <v>133</v>
      </c>
      <c r="B207">
        <v>1</v>
      </c>
      <c r="C207">
        <v>493</v>
      </c>
      <c r="D207">
        <v>494</v>
      </c>
      <c r="E207">
        <v>13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35">
      <c r="A208" t="s">
        <v>132</v>
      </c>
      <c r="B208">
        <v>2</v>
      </c>
      <c r="C208">
        <v>494</v>
      </c>
      <c r="D208">
        <v>495</v>
      </c>
      <c r="E208">
        <v>14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35">
      <c r="A209" t="s">
        <v>132</v>
      </c>
      <c r="B209">
        <v>2</v>
      </c>
      <c r="C209">
        <v>494</v>
      </c>
      <c r="D209">
        <v>495</v>
      </c>
      <c r="E209">
        <v>14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35">
      <c r="A210" t="s">
        <v>132</v>
      </c>
      <c r="B210">
        <v>2</v>
      </c>
      <c r="C210">
        <v>494</v>
      </c>
      <c r="D210">
        <v>495</v>
      </c>
      <c r="E210">
        <v>14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35">
      <c r="A211" t="s">
        <v>132</v>
      </c>
      <c r="B211">
        <v>2</v>
      </c>
      <c r="C211">
        <v>494</v>
      </c>
      <c r="D211">
        <v>495</v>
      </c>
      <c r="E211">
        <v>14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35">
      <c r="A212" t="s">
        <v>132</v>
      </c>
      <c r="B212">
        <v>3</v>
      </c>
      <c r="C212">
        <v>330</v>
      </c>
      <c r="D212">
        <v>331</v>
      </c>
      <c r="E212">
        <v>9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35">
      <c r="A213" t="s">
        <v>132</v>
      </c>
      <c r="B213">
        <v>2</v>
      </c>
      <c r="C213">
        <v>330</v>
      </c>
      <c r="D213">
        <v>331</v>
      </c>
      <c r="E213">
        <v>9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35">
      <c r="A214" t="s">
        <v>136</v>
      </c>
      <c r="B214">
        <v>2</v>
      </c>
      <c r="C214">
        <v>229</v>
      </c>
      <c r="D214">
        <v>229</v>
      </c>
      <c r="E214">
        <v>120</v>
      </c>
      <c r="F214">
        <v>2</v>
      </c>
      <c r="G214" t="b">
        <v>1</v>
      </c>
      <c r="H214" t="b">
        <v>1</v>
      </c>
      <c r="I214" t="b">
        <v>1</v>
      </c>
    </row>
    <row r="215" spans="1:9" x14ac:dyDescent="0.35">
      <c r="A215" t="s">
        <v>133</v>
      </c>
      <c r="B215">
        <v>1</v>
      </c>
      <c r="C215">
        <v>493</v>
      </c>
      <c r="D215">
        <v>494</v>
      </c>
      <c r="E215">
        <v>13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35">
      <c r="A216" t="s">
        <v>133</v>
      </c>
      <c r="B216">
        <v>1</v>
      </c>
      <c r="C216">
        <v>493</v>
      </c>
      <c r="D216">
        <v>494</v>
      </c>
      <c r="E216">
        <v>13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35">
      <c r="A217" t="s">
        <v>132</v>
      </c>
      <c r="B217">
        <v>2</v>
      </c>
      <c r="C217">
        <v>233</v>
      </c>
      <c r="D217">
        <v>234</v>
      </c>
      <c r="E217">
        <v>119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35">
      <c r="A218" t="s">
        <v>35</v>
      </c>
      <c r="B218">
        <v>3</v>
      </c>
      <c r="C218">
        <v>231</v>
      </c>
      <c r="D218">
        <v>230</v>
      </c>
      <c r="E218">
        <v>116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35">
      <c r="A219" t="s">
        <v>140</v>
      </c>
      <c r="B219">
        <v>1</v>
      </c>
      <c r="C219">
        <v>108</v>
      </c>
      <c r="D219">
        <v>108</v>
      </c>
      <c r="E219">
        <v>9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35">
      <c r="A220" t="s">
        <v>137</v>
      </c>
      <c r="B220">
        <v>3</v>
      </c>
      <c r="C220">
        <v>9</v>
      </c>
      <c r="D220">
        <v>8</v>
      </c>
      <c r="E220">
        <v>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35">
      <c r="A221" t="s">
        <v>140</v>
      </c>
      <c r="B221">
        <v>4</v>
      </c>
      <c r="C221">
        <v>58</v>
      </c>
      <c r="D221">
        <v>58</v>
      </c>
      <c r="E221">
        <v>8</v>
      </c>
      <c r="F221">
        <v>3</v>
      </c>
      <c r="G221" t="b">
        <v>1</v>
      </c>
      <c r="H221" t="b">
        <v>1</v>
      </c>
      <c r="I221" t="b">
        <v>1</v>
      </c>
    </row>
    <row r="222" spans="1:9" x14ac:dyDescent="0.35">
      <c r="A222" t="s">
        <v>137</v>
      </c>
      <c r="B222">
        <v>6</v>
      </c>
      <c r="C222">
        <v>214</v>
      </c>
      <c r="D222">
        <v>211</v>
      </c>
      <c r="E222">
        <v>8</v>
      </c>
      <c r="F222">
        <v>3</v>
      </c>
      <c r="G222" t="b">
        <v>1</v>
      </c>
      <c r="H222" t="b">
        <v>1</v>
      </c>
      <c r="I222" t="b">
        <v>1</v>
      </c>
    </row>
    <row r="223" spans="1:9" x14ac:dyDescent="0.35">
      <c r="A223" t="s">
        <v>137</v>
      </c>
      <c r="B223">
        <v>6</v>
      </c>
      <c r="C223">
        <v>214</v>
      </c>
      <c r="D223">
        <v>211</v>
      </c>
      <c r="E223">
        <v>8</v>
      </c>
      <c r="F223">
        <v>3</v>
      </c>
      <c r="G223" t="b">
        <v>1</v>
      </c>
      <c r="H223" t="b">
        <v>1</v>
      </c>
      <c r="I223" t="b">
        <v>1</v>
      </c>
    </row>
    <row r="224" spans="1:9" x14ac:dyDescent="0.35">
      <c r="A224" t="s">
        <v>137</v>
      </c>
      <c r="B224">
        <v>4</v>
      </c>
      <c r="C224">
        <v>47</v>
      </c>
      <c r="D224">
        <v>46</v>
      </c>
      <c r="E224">
        <v>36</v>
      </c>
      <c r="F224">
        <v>3</v>
      </c>
      <c r="G224" t="b">
        <v>1</v>
      </c>
      <c r="H224" t="b">
        <v>1</v>
      </c>
      <c r="I224" t="b">
        <v>1</v>
      </c>
    </row>
    <row r="225" spans="1:9" x14ac:dyDescent="0.35">
      <c r="A225" t="s">
        <v>140</v>
      </c>
      <c r="B225">
        <v>4</v>
      </c>
      <c r="C225">
        <v>58</v>
      </c>
      <c r="D225">
        <v>58</v>
      </c>
      <c r="E225">
        <v>8</v>
      </c>
      <c r="F225">
        <v>3</v>
      </c>
      <c r="G225" t="b">
        <v>1</v>
      </c>
      <c r="H225" t="b">
        <v>1</v>
      </c>
      <c r="I225" t="b">
        <v>1</v>
      </c>
    </row>
    <row r="226" spans="1:9" x14ac:dyDescent="0.35">
      <c r="A226" t="s">
        <v>137</v>
      </c>
      <c r="B226">
        <v>2</v>
      </c>
      <c r="C226">
        <v>28</v>
      </c>
      <c r="D226">
        <v>27</v>
      </c>
      <c r="E226">
        <v>22</v>
      </c>
      <c r="F226">
        <v>2</v>
      </c>
      <c r="G226" t="b">
        <v>1</v>
      </c>
      <c r="H226" t="b">
        <v>1</v>
      </c>
      <c r="I226" t="b">
        <v>1</v>
      </c>
    </row>
    <row r="227" spans="1:9" x14ac:dyDescent="0.35">
      <c r="A227" t="s">
        <v>140</v>
      </c>
      <c r="B227">
        <v>1</v>
      </c>
      <c r="C227">
        <v>97</v>
      </c>
      <c r="D227">
        <v>97</v>
      </c>
      <c r="E227">
        <v>8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35">
      <c r="A228" t="s">
        <v>143</v>
      </c>
      <c r="B228">
        <v>1</v>
      </c>
      <c r="C228">
        <v>111</v>
      </c>
      <c r="D228">
        <v>114</v>
      </c>
      <c r="E228">
        <v>3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35">
      <c r="A229" t="s">
        <v>143</v>
      </c>
      <c r="B229">
        <v>1</v>
      </c>
      <c r="C229">
        <v>111</v>
      </c>
      <c r="D229">
        <v>114</v>
      </c>
      <c r="E229">
        <v>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35">
      <c r="A230" t="s">
        <v>144</v>
      </c>
      <c r="B230">
        <v>2</v>
      </c>
      <c r="C230">
        <v>178</v>
      </c>
      <c r="D230">
        <v>179</v>
      </c>
      <c r="E230">
        <v>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35">
      <c r="A231" t="s">
        <v>144</v>
      </c>
      <c r="B231">
        <v>2</v>
      </c>
      <c r="C231">
        <v>178</v>
      </c>
      <c r="D231">
        <v>179</v>
      </c>
      <c r="E231">
        <v>5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35">
      <c r="A232" t="s">
        <v>143</v>
      </c>
      <c r="B232">
        <v>1</v>
      </c>
      <c r="C232">
        <v>172</v>
      </c>
      <c r="D232">
        <v>175</v>
      </c>
      <c r="E232">
        <v>4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35">
      <c r="A233" t="s">
        <v>143</v>
      </c>
      <c r="B233">
        <v>1</v>
      </c>
      <c r="C233">
        <v>172</v>
      </c>
      <c r="D233">
        <v>175</v>
      </c>
      <c r="E233">
        <v>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35">
      <c r="A234" t="s">
        <v>144</v>
      </c>
      <c r="B234">
        <v>2</v>
      </c>
      <c r="C234">
        <v>116</v>
      </c>
      <c r="D234">
        <v>117</v>
      </c>
      <c r="E234">
        <v>4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35">
      <c r="A235" t="s">
        <v>144</v>
      </c>
      <c r="B235">
        <v>2</v>
      </c>
      <c r="C235">
        <v>116</v>
      </c>
      <c r="D235">
        <v>117</v>
      </c>
      <c r="E235">
        <v>4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35">
      <c r="A236" t="s">
        <v>151</v>
      </c>
      <c r="B236">
        <v>3</v>
      </c>
      <c r="C236">
        <v>142</v>
      </c>
      <c r="D236">
        <v>138</v>
      </c>
      <c r="E236">
        <v>9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35">
      <c r="A237" t="s">
        <v>151</v>
      </c>
      <c r="B237">
        <v>3</v>
      </c>
      <c r="C237">
        <v>142</v>
      </c>
      <c r="D237">
        <v>138</v>
      </c>
      <c r="E237">
        <v>9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35">
      <c r="A238" t="s">
        <v>145</v>
      </c>
      <c r="B238">
        <v>1</v>
      </c>
      <c r="C238">
        <v>182</v>
      </c>
      <c r="D238">
        <v>187</v>
      </c>
      <c r="E238">
        <v>8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35">
      <c r="A239" t="s">
        <v>146</v>
      </c>
      <c r="B239">
        <v>6</v>
      </c>
      <c r="C239">
        <v>184</v>
      </c>
      <c r="D239">
        <v>188</v>
      </c>
      <c r="E239">
        <v>15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35">
      <c r="A240" t="s">
        <v>147</v>
      </c>
      <c r="B240">
        <v>21</v>
      </c>
      <c r="C240">
        <v>187</v>
      </c>
      <c r="D240">
        <v>182</v>
      </c>
      <c r="E240">
        <v>7</v>
      </c>
      <c r="F240">
        <v>100021</v>
      </c>
      <c r="G240" t="b">
        <v>1</v>
      </c>
      <c r="H240" t="b">
        <v>1</v>
      </c>
      <c r="I240" t="b">
        <v>1</v>
      </c>
    </row>
    <row r="241" spans="1:9" x14ac:dyDescent="0.35">
      <c r="A241" t="s">
        <v>145</v>
      </c>
      <c r="B241">
        <v>1</v>
      </c>
      <c r="C241">
        <v>182</v>
      </c>
      <c r="D241">
        <v>187</v>
      </c>
      <c r="E241">
        <v>8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35">
      <c r="A242" t="s">
        <v>149</v>
      </c>
      <c r="B242">
        <v>1</v>
      </c>
      <c r="C242">
        <v>176</v>
      </c>
      <c r="D242">
        <v>175</v>
      </c>
      <c r="E242">
        <v>17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35">
      <c r="A243" t="s">
        <v>151</v>
      </c>
      <c r="B243">
        <v>4</v>
      </c>
      <c r="C243">
        <v>585</v>
      </c>
      <c r="D243">
        <v>581</v>
      </c>
      <c r="E243">
        <v>15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35">
      <c r="A244" t="s">
        <v>151</v>
      </c>
      <c r="B244">
        <v>5</v>
      </c>
      <c r="C244">
        <v>417</v>
      </c>
      <c r="D244">
        <v>413</v>
      </c>
      <c r="E244">
        <v>15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35">
      <c r="A245" t="s">
        <v>151</v>
      </c>
      <c r="B245">
        <v>4</v>
      </c>
      <c r="C245">
        <v>375</v>
      </c>
      <c r="D245">
        <v>371</v>
      </c>
      <c r="E245">
        <v>15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35">
      <c r="A246" t="s">
        <v>147</v>
      </c>
      <c r="B246">
        <v>6</v>
      </c>
      <c r="C246">
        <v>418</v>
      </c>
      <c r="D246">
        <v>414</v>
      </c>
      <c r="E246">
        <v>7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35">
      <c r="A247" t="s">
        <v>158</v>
      </c>
      <c r="B247">
        <v>39</v>
      </c>
      <c r="C247">
        <v>424</v>
      </c>
      <c r="D247">
        <v>417</v>
      </c>
      <c r="E247">
        <v>37</v>
      </c>
      <c r="F247">
        <v>100021</v>
      </c>
      <c r="G247" t="b">
        <v>1</v>
      </c>
      <c r="H247" t="b">
        <v>1</v>
      </c>
      <c r="I247" t="b">
        <v>1</v>
      </c>
    </row>
    <row r="248" spans="1:9" x14ac:dyDescent="0.35">
      <c r="A248" t="s">
        <v>154</v>
      </c>
      <c r="B248">
        <v>4</v>
      </c>
      <c r="C248">
        <v>469</v>
      </c>
      <c r="D248">
        <v>469</v>
      </c>
      <c r="E248">
        <v>39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35">
      <c r="A249" t="s">
        <v>145</v>
      </c>
      <c r="B249">
        <v>1</v>
      </c>
      <c r="C249">
        <v>460</v>
      </c>
      <c r="D249">
        <v>465</v>
      </c>
      <c r="E249">
        <v>10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35">
      <c r="A250" t="s">
        <v>145</v>
      </c>
      <c r="B250">
        <v>1</v>
      </c>
      <c r="C250">
        <v>425</v>
      </c>
      <c r="D250">
        <v>430</v>
      </c>
      <c r="E250">
        <v>10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35">
      <c r="A251" t="s">
        <v>160</v>
      </c>
      <c r="B251">
        <v>3</v>
      </c>
      <c r="C251">
        <v>641</v>
      </c>
      <c r="D251">
        <v>642</v>
      </c>
      <c r="E251">
        <v>21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35">
      <c r="A252" t="s">
        <v>161</v>
      </c>
      <c r="B252">
        <v>3</v>
      </c>
      <c r="C252">
        <v>630</v>
      </c>
      <c r="D252">
        <v>627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35">
      <c r="A253" t="s">
        <v>160</v>
      </c>
      <c r="B253">
        <v>3</v>
      </c>
      <c r="C253">
        <v>641</v>
      </c>
      <c r="D253">
        <v>642</v>
      </c>
      <c r="E253">
        <v>21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35">
      <c r="A254" t="s">
        <v>147</v>
      </c>
      <c r="B254">
        <v>6</v>
      </c>
      <c r="C254">
        <v>636</v>
      </c>
      <c r="D254">
        <v>631</v>
      </c>
      <c r="E254">
        <v>8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35">
      <c r="A255" t="s">
        <v>158</v>
      </c>
      <c r="B255">
        <v>8</v>
      </c>
      <c r="C255">
        <v>225</v>
      </c>
      <c r="D255">
        <v>220</v>
      </c>
      <c r="E255">
        <v>29</v>
      </c>
      <c r="F255">
        <v>2</v>
      </c>
      <c r="G255" t="b">
        <v>1</v>
      </c>
      <c r="H255" t="b">
        <v>1</v>
      </c>
      <c r="I255" t="b">
        <v>1</v>
      </c>
    </row>
    <row r="256" spans="1:9" x14ac:dyDescent="0.35">
      <c r="A256" t="s">
        <v>145</v>
      </c>
      <c r="B256">
        <v>1</v>
      </c>
      <c r="C256">
        <v>460</v>
      </c>
      <c r="D256">
        <v>465</v>
      </c>
      <c r="E256">
        <v>10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35">
      <c r="A257" t="s">
        <v>152</v>
      </c>
      <c r="B257">
        <v>2</v>
      </c>
      <c r="C257">
        <v>454</v>
      </c>
      <c r="D257">
        <v>452</v>
      </c>
      <c r="E257">
        <v>23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35">
      <c r="A258" t="s">
        <v>152</v>
      </c>
      <c r="B258">
        <v>3</v>
      </c>
      <c r="C258">
        <v>454</v>
      </c>
      <c r="D258">
        <v>452</v>
      </c>
      <c r="E258">
        <v>23</v>
      </c>
      <c r="F258">
        <v>2</v>
      </c>
      <c r="G258" t="b">
        <v>1</v>
      </c>
      <c r="H258" t="b">
        <v>1</v>
      </c>
      <c r="I258" t="b">
        <v>1</v>
      </c>
    </row>
    <row r="259" spans="1:9" x14ac:dyDescent="0.35">
      <c r="A259" t="s">
        <v>152</v>
      </c>
      <c r="B259">
        <v>2</v>
      </c>
      <c r="C259">
        <v>410</v>
      </c>
      <c r="D259">
        <v>409</v>
      </c>
      <c r="E259">
        <v>22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35">
      <c r="A260" t="s">
        <v>160</v>
      </c>
      <c r="B260">
        <v>4</v>
      </c>
      <c r="C260">
        <v>467</v>
      </c>
      <c r="D260">
        <v>468</v>
      </c>
      <c r="E260">
        <v>17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35">
      <c r="A261" t="s">
        <v>161</v>
      </c>
      <c r="B261">
        <v>3</v>
      </c>
      <c r="C261">
        <v>456</v>
      </c>
      <c r="D261">
        <v>453</v>
      </c>
      <c r="E261">
        <v>7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35">
      <c r="A262" t="s">
        <v>157</v>
      </c>
      <c r="B262">
        <v>10</v>
      </c>
      <c r="C262">
        <v>411</v>
      </c>
      <c r="D262">
        <v>419</v>
      </c>
      <c r="E262">
        <v>2</v>
      </c>
      <c r="F262">
        <v>2</v>
      </c>
      <c r="G262" t="b">
        <v>1</v>
      </c>
      <c r="H262" t="b">
        <v>1</v>
      </c>
      <c r="I262" t="b">
        <v>1</v>
      </c>
    </row>
    <row r="263" spans="1:9" x14ac:dyDescent="0.35">
      <c r="A263" t="s">
        <v>156</v>
      </c>
      <c r="B263">
        <v>2</v>
      </c>
      <c r="C263">
        <v>637</v>
      </c>
      <c r="D263">
        <v>639</v>
      </c>
      <c r="E263">
        <v>5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35">
      <c r="A264" t="s">
        <v>162</v>
      </c>
      <c r="B264">
        <v>5</v>
      </c>
      <c r="C264">
        <v>420</v>
      </c>
      <c r="D264">
        <v>414</v>
      </c>
      <c r="E264">
        <v>9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35">
      <c r="A265" t="s">
        <v>156</v>
      </c>
      <c r="B265">
        <v>2</v>
      </c>
      <c r="C265">
        <v>420</v>
      </c>
      <c r="D265">
        <v>422</v>
      </c>
      <c r="E265">
        <v>4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35">
      <c r="A266" t="s">
        <v>145</v>
      </c>
      <c r="B266">
        <v>1</v>
      </c>
      <c r="C266">
        <v>460</v>
      </c>
      <c r="D266">
        <v>465</v>
      </c>
      <c r="E266">
        <v>10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35">
      <c r="A267" t="s">
        <v>154</v>
      </c>
      <c r="B267">
        <v>4</v>
      </c>
      <c r="C267">
        <v>554</v>
      </c>
      <c r="D267">
        <v>554</v>
      </c>
      <c r="E267">
        <v>43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35">
      <c r="A268" t="s">
        <v>154</v>
      </c>
      <c r="B268">
        <v>6</v>
      </c>
      <c r="C268">
        <v>554</v>
      </c>
      <c r="D268">
        <v>554</v>
      </c>
      <c r="E268">
        <v>43</v>
      </c>
      <c r="F268">
        <v>2</v>
      </c>
      <c r="G268" t="b">
        <v>1</v>
      </c>
      <c r="H268" t="b">
        <v>1</v>
      </c>
      <c r="I268" t="b">
        <v>1</v>
      </c>
    </row>
    <row r="269" spans="1:9" x14ac:dyDescent="0.35">
      <c r="A269" t="s">
        <v>151</v>
      </c>
      <c r="B269">
        <v>4</v>
      </c>
      <c r="C269">
        <v>585</v>
      </c>
      <c r="D269">
        <v>581</v>
      </c>
      <c r="E269">
        <v>15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35">
      <c r="A270" t="s">
        <v>151</v>
      </c>
      <c r="B270">
        <v>5</v>
      </c>
      <c r="C270">
        <v>417</v>
      </c>
      <c r="D270">
        <v>413</v>
      </c>
      <c r="E270">
        <v>15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35">
      <c r="A271" t="s">
        <v>151</v>
      </c>
      <c r="B271">
        <v>4</v>
      </c>
      <c r="C271">
        <v>375</v>
      </c>
      <c r="D271">
        <v>371</v>
      </c>
      <c r="E271">
        <v>15</v>
      </c>
      <c r="F271">
        <v>2</v>
      </c>
      <c r="G271" t="b">
        <v>1</v>
      </c>
      <c r="H271" t="b">
        <v>1</v>
      </c>
      <c r="I271" t="b">
        <v>1</v>
      </c>
    </row>
    <row r="272" spans="1:9" x14ac:dyDescent="0.35">
      <c r="A272" t="s">
        <v>161</v>
      </c>
      <c r="B272">
        <v>3</v>
      </c>
      <c r="C272">
        <v>445</v>
      </c>
      <c r="D272">
        <v>443</v>
      </c>
      <c r="E272">
        <v>7</v>
      </c>
      <c r="F272">
        <v>2</v>
      </c>
      <c r="G272" t="b">
        <v>1</v>
      </c>
      <c r="H272" t="b">
        <v>1</v>
      </c>
      <c r="I272" t="b">
        <v>1</v>
      </c>
    </row>
    <row r="273" spans="1:9" x14ac:dyDescent="0.35">
      <c r="A273" t="s">
        <v>147</v>
      </c>
      <c r="B273">
        <v>6</v>
      </c>
      <c r="C273">
        <v>451</v>
      </c>
      <c r="D273">
        <v>447</v>
      </c>
      <c r="E273">
        <v>8</v>
      </c>
      <c r="F273">
        <v>2</v>
      </c>
      <c r="G273" t="b">
        <v>1</v>
      </c>
      <c r="H273" t="b">
        <v>1</v>
      </c>
      <c r="I273" t="b">
        <v>1</v>
      </c>
    </row>
    <row r="274" spans="1:9" x14ac:dyDescent="0.35">
      <c r="A274" t="s">
        <v>160</v>
      </c>
      <c r="B274">
        <v>3</v>
      </c>
      <c r="C274">
        <v>641</v>
      </c>
      <c r="D274">
        <v>642</v>
      </c>
      <c r="E274">
        <v>21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35">
      <c r="A275" t="s">
        <v>160</v>
      </c>
      <c r="B275">
        <v>3</v>
      </c>
      <c r="C275">
        <v>457</v>
      </c>
      <c r="D275">
        <v>458</v>
      </c>
      <c r="E275">
        <v>17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35">
      <c r="A276" t="s">
        <v>154</v>
      </c>
      <c r="B276">
        <v>4</v>
      </c>
      <c r="C276">
        <v>469</v>
      </c>
      <c r="D276">
        <v>469</v>
      </c>
      <c r="E276">
        <v>39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35">
      <c r="A277" t="s">
        <v>145</v>
      </c>
      <c r="B277">
        <v>1</v>
      </c>
      <c r="C277">
        <v>460</v>
      </c>
      <c r="D277">
        <v>465</v>
      </c>
      <c r="E277">
        <v>10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35">
      <c r="A278" t="s">
        <v>145</v>
      </c>
      <c r="B278">
        <v>1</v>
      </c>
      <c r="C278">
        <v>425</v>
      </c>
      <c r="D278">
        <v>430</v>
      </c>
      <c r="E278">
        <v>10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35">
      <c r="A279" t="s">
        <v>160</v>
      </c>
      <c r="B279">
        <v>3</v>
      </c>
      <c r="C279">
        <v>641</v>
      </c>
      <c r="D279">
        <v>642</v>
      </c>
      <c r="E279">
        <v>21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35">
      <c r="A280" t="s">
        <v>147</v>
      </c>
      <c r="B280">
        <v>6</v>
      </c>
      <c r="C280">
        <v>635</v>
      </c>
      <c r="D280">
        <v>631</v>
      </c>
      <c r="E280">
        <v>8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35">
      <c r="A281" t="s">
        <v>160</v>
      </c>
      <c r="B281">
        <v>3</v>
      </c>
      <c r="C281">
        <v>641</v>
      </c>
      <c r="D281">
        <v>642</v>
      </c>
      <c r="E281">
        <v>21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35">
      <c r="A282" t="s">
        <v>161</v>
      </c>
      <c r="B282">
        <v>3</v>
      </c>
      <c r="C282">
        <v>629</v>
      </c>
      <c r="D282">
        <v>627</v>
      </c>
      <c r="E282">
        <v>7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35">
      <c r="A283" t="s">
        <v>158</v>
      </c>
      <c r="B283">
        <v>8</v>
      </c>
      <c r="C283">
        <v>225</v>
      </c>
      <c r="D283">
        <v>220</v>
      </c>
      <c r="E283">
        <v>29</v>
      </c>
      <c r="F283">
        <v>2</v>
      </c>
      <c r="G283" t="b">
        <v>1</v>
      </c>
      <c r="H283" t="b">
        <v>1</v>
      </c>
      <c r="I283" t="b">
        <v>1</v>
      </c>
    </row>
    <row r="284" spans="1:9" x14ac:dyDescent="0.35">
      <c r="A284" t="s">
        <v>145</v>
      </c>
      <c r="B284">
        <v>1</v>
      </c>
      <c r="C284">
        <v>460</v>
      </c>
      <c r="D284">
        <v>465</v>
      </c>
      <c r="E284">
        <v>10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35">
      <c r="A285" t="s">
        <v>152</v>
      </c>
      <c r="B285">
        <v>4</v>
      </c>
      <c r="C285">
        <v>538</v>
      </c>
      <c r="D285">
        <v>536</v>
      </c>
      <c r="E285">
        <v>26</v>
      </c>
      <c r="F285">
        <v>2</v>
      </c>
      <c r="G285" t="b">
        <v>1</v>
      </c>
      <c r="H285" t="b">
        <v>1</v>
      </c>
      <c r="I285" t="b">
        <v>1</v>
      </c>
    </row>
    <row r="286" spans="1:9" x14ac:dyDescent="0.35">
      <c r="A286" t="s">
        <v>152</v>
      </c>
      <c r="B286">
        <v>4</v>
      </c>
      <c r="C286">
        <v>538</v>
      </c>
      <c r="D286">
        <v>536</v>
      </c>
      <c r="E286">
        <v>26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35">
      <c r="A287" t="s">
        <v>160</v>
      </c>
      <c r="B287">
        <v>3</v>
      </c>
      <c r="C287">
        <v>467</v>
      </c>
      <c r="D287">
        <v>468</v>
      </c>
      <c r="E287">
        <v>17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35">
      <c r="A288" t="s">
        <v>161</v>
      </c>
      <c r="B288">
        <v>3</v>
      </c>
      <c r="C288">
        <v>456</v>
      </c>
      <c r="D288">
        <v>453</v>
      </c>
      <c r="E288">
        <v>7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35">
      <c r="A289" t="s">
        <v>157</v>
      </c>
      <c r="B289">
        <v>10</v>
      </c>
      <c r="C289">
        <v>411</v>
      </c>
      <c r="D289">
        <v>419</v>
      </c>
      <c r="E289">
        <v>2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35">
      <c r="A290" t="s">
        <v>156</v>
      </c>
      <c r="B290">
        <v>2</v>
      </c>
      <c r="C290">
        <v>637</v>
      </c>
      <c r="D290">
        <v>639</v>
      </c>
      <c r="E290">
        <v>5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35">
      <c r="A291" t="s">
        <v>156</v>
      </c>
      <c r="B291">
        <v>2</v>
      </c>
      <c r="C291">
        <v>420</v>
      </c>
      <c r="D291">
        <v>422</v>
      </c>
      <c r="E291">
        <v>4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35">
      <c r="A292" t="s">
        <v>162</v>
      </c>
      <c r="B292">
        <v>5</v>
      </c>
      <c r="C292">
        <v>420</v>
      </c>
      <c r="D292">
        <v>414</v>
      </c>
      <c r="E292">
        <v>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35">
      <c r="A293" t="s">
        <v>145</v>
      </c>
      <c r="B293">
        <v>1</v>
      </c>
      <c r="C293">
        <v>460</v>
      </c>
      <c r="D293">
        <v>465</v>
      </c>
      <c r="E293">
        <v>10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35">
      <c r="A294" t="s">
        <v>154</v>
      </c>
      <c r="B294">
        <v>4</v>
      </c>
      <c r="C294">
        <v>554</v>
      </c>
      <c r="D294">
        <v>554</v>
      </c>
      <c r="E294">
        <v>43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35">
      <c r="A295" t="s">
        <v>154</v>
      </c>
      <c r="B295">
        <v>6</v>
      </c>
      <c r="C295">
        <v>554</v>
      </c>
      <c r="D295">
        <v>554</v>
      </c>
      <c r="E295">
        <v>43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35">
      <c r="A296" t="s">
        <v>164</v>
      </c>
      <c r="B296">
        <v>2</v>
      </c>
      <c r="C296">
        <v>134</v>
      </c>
      <c r="D296">
        <v>137</v>
      </c>
      <c r="E296">
        <v>6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35">
      <c r="A297" t="s">
        <v>166</v>
      </c>
      <c r="B297">
        <v>1</v>
      </c>
      <c r="C297">
        <v>97</v>
      </c>
      <c r="D297">
        <v>101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35">
      <c r="A298" t="s">
        <v>179</v>
      </c>
      <c r="B298">
        <v>4</v>
      </c>
      <c r="C298">
        <v>457</v>
      </c>
      <c r="D298">
        <v>454</v>
      </c>
      <c r="E298">
        <v>9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35">
      <c r="A299" t="s">
        <v>54</v>
      </c>
      <c r="B299">
        <v>1</v>
      </c>
      <c r="C299">
        <v>510</v>
      </c>
      <c r="D299">
        <v>513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35">
      <c r="A300" t="s">
        <v>168</v>
      </c>
      <c r="B300">
        <v>2</v>
      </c>
      <c r="C300">
        <v>591</v>
      </c>
      <c r="D300">
        <v>596</v>
      </c>
      <c r="E300">
        <v>15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35">
      <c r="A301" t="s">
        <v>176</v>
      </c>
      <c r="B301">
        <v>4</v>
      </c>
      <c r="C301">
        <v>598</v>
      </c>
      <c r="D301">
        <v>600</v>
      </c>
      <c r="E301">
        <v>8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35">
      <c r="A302" t="s">
        <v>178</v>
      </c>
      <c r="B302">
        <v>6</v>
      </c>
      <c r="C302">
        <v>588</v>
      </c>
      <c r="D302">
        <v>588</v>
      </c>
      <c r="E302">
        <v>2</v>
      </c>
      <c r="F302">
        <v>6</v>
      </c>
      <c r="G302" t="b">
        <v>1</v>
      </c>
      <c r="H302" t="b">
        <v>1</v>
      </c>
      <c r="I302" t="b">
        <v>1</v>
      </c>
    </row>
    <row r="303" spans="1:9" x14ac:dyDescent="0.35">
      <c r="A303" t="s">
        <v>171</v>
      </c>
      <c r="B303">
        <v>4</v>
      </c>
      <c r="C303">
        <v>597</v>
      </c>
      <c r="D303">
        <v>599</v>
      </c>
      <c r="E303">
        <v>11</v>
      </c>
      <c r="F303">
        <v>2</v>
      </c>
      <c r="G303" t="b">
        <v>1</v>
      </c>
      <c r="H303" t="b">
        <v>1</v>
      </c>
      <c r="I303" t="b">
        <v>1</v>
      </c>
    </row>
    <row r="304" spans="1:9" x14ac:dyDescent="0.35">
      <c r="A304" t="s">
        <v>171</v>
      </c>
      <c r="B304">
        <v>3</v>
      </c>
      <c r="C304">
        <v>596</v>
      </c>
      <c r="D304">
        <v>598</v>
      </c>
      <c r="E304">
        <v>11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35">
      <c r="A305" t="s">
        <v>178</v>
      </c>
      <c r="B305">
        <v>1</v>
      </c>
      <c r="C305">
        <v>588</v>
      </c>
      <c r="D305">
        <v>588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35">
      <c r="A306" t="s">
        <v>171</v>
      </c>
      <c r="B306">
        <v>3</v>
      </c>
      <c r="C306">
        <v>596</v>
      </c>
      <c r="D306">
        <v>598</v>
      </c>
      <c r="E306">
        <v>11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35">
      <c r="A307" t="s">
        <v>178</v>
      </c>
      <c r="B307">
        <v>1</v>
      </c>
      <c r="C307">
        <v>588</v>
      </c>
      <c r="D307">
        <v>588</v>
      </c>
      <c r="E307">
        <v>2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35">
      <c r="A308" t="s">
        <v>172</v>
      </c>
      <c r="B308">
        <v>1</v>
      </c>
      <c r="C308">
        <v>462</v>
      </c>
      <c r="D308">
        <v>467</v>
      </c>
      <c r="E308">
        <v>1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35">
      <c r="A309" t="s">
        <v>172</v>
      </c>
      <c r="B309">
        <v>1</v>
      </c>
      <c r="C309">
        <v>462</v>
      </c>
      <c r="D309">
        <v>467</v>
      </c>
      <c r="E309">
        <v>1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35">
      <c r="A310" t="s">
        <v>183</v>
      </c>
      <c r="B310">
        <v>3</v>
      </c>
      <c r="C310">
        <v>476</v>
      </c>
      <c r="D310">
        <v>482</v>
      </c>
      <c r="E310">
        <v>7</v>
      </c>
      <c r="F310">
        <v>2</v>
      </c>
      <c r="G310" t="b">
        <v>1</v>
      </c>
      <c r="H310" t="b">
        <v>1</v>
      </c>
      <c r="I310" t="b">
        <v>1</v>
      </c>
    </row>
    <row r="311" spans="1:9" x14ac:dyDescent="0.35">
      <c r="A311" t="s">
        <v>180</v>
      </c>
      <c r="B311">
        <v>5</v>
      </c>
      <c r="C311">
        <v>599</v>
      </c>
      <c r="D311">
        <v>600</v>
      </c>
      <c r="E311">
        <v>20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35">
      <c r="A312" t="s">
        <v>168</v>
      </c>
      <c r="B312">
        <v>3</v>
      </c>
      <c r="C312">
        <v>591</v>
      </c>
      <c r="D312">
        <v>596</v>
      </c>
      <c r="E312">
        <v>15</v>
      </c>
      <c r="F312">
        <v>2</v>
      </c>
      <c r="G312" t="b">
        <v>1</v>
      </c>
      <c r="H312" t="b">
        <v>1</v>
      </c>
      <c r="I312" t="b">
        <v>1</v>
      </c>
    </row>
    <row r="313" spans="1:9" x14ac:dyDescent="0.35">
      <c r="A313" t="s">
        <v>168</v>
      </c>
      <c r="B313">
        <v>2</v>
      </c>
      <c r="C313">
        <v>591</v>
      </c>
      <c r="D313">
        <v>596</v>
      </c>
      <c r="E313">
        <v>15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35">
      <c r="A314" t="s">
        <v>185</v>
      </c>
      <c r="B314">
        <v>1</v>
      </c>
      <c r="C314">
        <v>600</v>
      </c>
      <c r="D314">
        <v>601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35">
      <c r="A315" t="s">
        <v>176</v>
      </c>
      <c r="B315">
        <v>4</v>
      </c>
      <c r="C315">
        <v>606</v>
      </c>
      <c r="D315">
        <v>608</v>
      </c>
      <c r="E315">
        <v>9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35">
      <c r="A316" t="s">
        <v>171</v>
      </c>
      <c r="B316">
        <v>5</v>
      </c>
      <c r="C316">
        <v>605</v>
      </c>
      <c r="D316">
        <v>607</v>
      </c>
      <c r="E316">
        <v>12</v>
      </c>
      <c r="F316">
        <v>2</v>
      </c>
      <c r="G316" t="b">
        <v>1</v>
      </c>
      <c r="H316" t="b">
        <v>1</v>
      </c>
      <c r="I316" t="b">
        <v>1</v>
      </c>
    </row>
    <row r="317" spans="1:9" x14ac:dyDescent="0.35">
      <c r="A317" t="s">
        <v>171</v>
      </c>
      <c r="B317">
        <v>5</v>
      </c>
      <c r="C317">
        <v>605</v>
      </c>
      <c r="D317">
        <v>607</v>
      </c>
      <c r="E317">
        <v>12</v>
      </c>
      <c r="F317">
        <v>2</v>
      </c>
      <c r="G317" t="b">
        <v>1</v>
      </c>
      <c r="H317" t="b">
        <v>1</v>
      </c>
      <c r="I317" t="b">
        <v>1</v>
      </c>
    </row>
    <row r="318" spans="1:9" x14ac:dyDescent="0.35">
      <c r="A318" t="s">
        <v>174</v>
      </c>
      <c r="B318">
        <v>5</v>
      </c>
      <c r="C318">
        <v>463</v>
      </c>
      <c r="D318">
        <v>456</v>
      </c>
      <c r="E318">
        <v>4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35">
      <c r="A319" t="s">
        <v>189</v>
      </c>
      <c r="B319">
        <v>1</v>
      </c>
      <c r="C319">
        <v>479</v>
      </c>
      <c r="D319">
        <v>482</v>
      </c>
      <c r="E319">
        <v>12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35">
      <c r="A320" t="s">
        <v>191</v>
      </c>
      <c r="B320">
        <v>4</v>
      </c>
      <c r="C320">
        <v>755</v>
      </c>
      <c r="D320">
        <v>755</v>
      </c>
      <c r="E320">
        <v>3</v>
      </c>
      <c r="F320">
        <v>2</v>
      </c>
      <c r="G320" t="b">
        <v>1</v>
      </c>
      <c r="H320" t="b">
        <v>1</v>
      </c>
      <c r="I320" t="b">
        <v>1</v>
      </c>
    </row>
    <row r="321" spans="1:9" x14ac:dyDescent="0.35">
      <c r="A321" t="s">
        <v>187</v>
      </c>
      <c r="B321">
        <v>3</v>
      </c>
      <c r="C321">
        <v>754</v>
      </c>
      <c r="D321">
        <v>754</v>
      </c>
      <c r="E321">
        <v>6</v>
      </c>
      <c r="F321">
        <v>2</v>
      </c>
      <c r="G321" t="b">
        <v>1</v>
      </c>
      <c r="H321" t="b">
        <v>1</v>
      </c>
      <c r="I321" t="b">
        <v>1</v>
      </c>
    </row>
    <row r="322" spans="1:9" x14ac:dyDescent="0.35">
      <c r="A322" t="s">
        <v>195</v>
      </c>
      <c r="B322">
        <v>9</v>
      </c>
      <c r="C322">
        <v>757</v>
      </c>
      <c r="D322">
        <v>757</v>
      </c>
      <c r="E322">
        <v>20</v>
      </c>
      <c r="F322">
        <v>6</v>
      </c>
      <c r="G322" t="b">
        <v>1</v>
      </c>
      <c r="H322" t="b">
        <v>1</v>
      </c>
      <c r="I322" t="b">
        <v>1</v>
      </c>
    </row>
    <row r="323" spans="1:9" x14ac:dyDescent="0.35">
      <c r="A323" t="s">
        <v>201</v>
      </c>
      <c r="B323">
        <v>1</v>
      </c>
      <c r="C323">
        <v>765</v>
      </c>
      <c r="D323">
        <v>766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35">
      <c r="A324" t="s">
        <v>189</v>
      </c>
      <c r="B324">
        <v>1</v>
      </c>
      <c r="C324">
        <v>762</v>
      </c>
      <c r="D324">
        <v>765</v>
      </c>
      <c r="E324">
        <v>12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35">
      <c r="A325" t="s">
        <v>187</v>
      </c>
      <c r="B325">
        <v>5</v>
      </c>
      <c r="C325">
        <v>1250</v>
      </c>
      <c r="D325">
        <v>1250</v>
      </c>
      <c r="E325">
        <v>7</v>
      </c>
      <c r="F325">
        <v>2</v>
      </c>
      <c r="G325" t="b">
        <v>1</v>
      </c>
      <c r="H325" t="b">
        <v>1</v>
      </c>
      <c r="I325" t="b">
        <v>1</v>
      </c>
    </row>
    <row r="326" spans="1:9" x14ac:dyDescent="0.35">
      <c r="A326" t="s">
        <v>191</v>
      </c>
      <c r="B326">
        <v>6</v>
      </c>
      <c r="C326">
        <v>1251</v>
      </c>
      <c r="D326">
        <v>1251</v>
      </c>
      <c r="E326">
        <v>4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35">
      <c r="A327" t="s">
        <v>202</v>
      </c>
      <c r="B327">
        <v>4</v>
      </c>
      <c r="C327">
        <v>88</v>
      </c>
      <c r="D327">
        <v>85</v>
      </c>
      <c r="E327">
        <v>5</v>
      </c>
      <c r="F327">
        <v>2</v>
      </c>
      <c r="G327" t="b">
        <v>1</v>
      </c>
      <c r="H327" t="b">
        <v>1</v>
      </c>
      <c r="I327" t="b">
        <v>1</v>
      </c>
    </row>
    <row r="328" spans="1:9" x14ac:dyDescent="0.35">
      <c r="A328" t="s">
        <v>193</v>
      </c>
      <c r="B328">
        <v>2</v>
      </c>
      <c r="C328">
        <v>773</v>
      </c>
      <c r="D328">
        <v>774</v>
      </c>
      <c r="E328">
        <v>10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35">
      <c r="A329" t="s">
        <v>195</v>
      </c>
      <c r="B329">
        <v>3</v>
      </c>
      <c r="C329">
        <v>765</v>
      </c>
      <c r="D329">
        <v>765</v>
      </c>
      <c r="E329">
        <v>21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35">
      <c r="A330" t="s">
        <v>189</v>
      </c>
      <c r="B330">
        <v>1</v>
      </c>
      <c r="C330">
        <v>770</v>
      </c>
      <c r="D330">
        <v>773</v>
      </c>
      <c r="E330">
        <v>13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35">
      <c r="A331" t="s">
        <v>192</v>
      </c>
      <c r="B331">
        <v>1</v>
      </c>
      <c r="C331">
        <v>757</v>
      </c>
      <c r="D331">
        <v>763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35">
      <c r="A332" t="s">
        <v>189</v>
      </c>
      <c r="B332">
        <v>1</v>
      </c>
      <c r="C332">
        <v>1258</v>
      </c>
      <c r="D332">
        <v>1261</v>
      </c>
      <c r="E332">
        <v>17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35">
      <c r="A333" t="s">
        <v>199</v>
      </c>
      <c r="B333">
        <v>4</v>
      </c>
      <c r="C333">
        <v>1256</v>
      </c>
      <c r="D333">
        <v>1254</v>
      </c>
      <c r="E333">
        <v>48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35">
      <c r="A334" t="s">
        <v>196</v>
      </c>
      <c r="B334">
        <v>4</v>
      </c>
      <c r="C334">
        <v>436</v>
      </c>
      <c r="D334">
        <v>435</v>
      </c>
      <c r="E334">
        <v>8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35">
      <c r="A335" t="s">
        <v>206</v>
      </c>
      <c r="B335">
        <v>1</v>
      </c>
      <c r="C335">
        <v>387</v>
      </c>
      <c r="D335">
        <v>391</v>
      </c>
      <c r="E335">
        <v>3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35">
      <c r="A336" t="s">
        <v>206</v>
      </c>
      <c r="B336">
        <v>1</v>
      </c>
      <c r="C336">
        <v>387</v>
      </c>
      <c r="D336">
        <v>391</v>
      </c>
      <c r="E336">
        <v>3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35">
      <c r="A337" t="s">
        <v>206</v>
      </c>
      <c r="B337">
        <v>1</v>
      </c>
      <c r="C337">
        <v>387</v>
      </c>
      <c r="D337">
        <v>391</v>
      </c>
      <c r="E337">
        <v>3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35">
      <c r="A338" t="s">
        <v>206</v>
      </c>
      <c r="B338">
        <v>1</v>
      </c>
      <c r="C338">
        <v>618</v>
      </c>
      <c r="D338">
        <v>622</v>
      </c>
      <c r="E338">
        <v>4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35">
      <c r="A339" t="s">
        <v>206</v>
      </c>
      <c r="B339">
        <v>1</v>
      </c>
      <c r="C339">
        <v>387</v>
      </c>
      <c r="D339">
        <v>391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35">
      <c r="A340" t="s">
        <v>191</v>
      </c>
      <c r="B340">
        <v>2</v>
      </c>
      <c r="C340">
        <v>382</v>
      </c>
      <c r="D340">
        <v>382</v>
      </c>
      <c r="E340">
        <v>4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35">
      <c r="A341" t="s">
        <v>206</v>
      </c>
      <c r="B341">
        <v>1</v>
      </c>
      <c r="C341">
        <v>387</v>
      </c>
      <c r="D341">
        <v>391</v>
      </c>
      <c r="E341">
        <v>3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35">
      <c r="A342" t="s">
        <v>206</v>
      </c>
      <c r="B342">
        <v>1</v>
      </c>
      <c r="C342">
        <v>387</v>
      </c>
      <c r="D342">
        <v>391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35">
      <c r="A343" t="s">
        <v>187</v>
      </c>
      <c r="B343">
        <v>1</v>
      </c>
      <c r="C343">
        <v>381</v>
      </c>
      <c r="D343">
        <v>381</v>
      </c>
      <c r="E343">
        <v>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35">
      <c r="A344" t="s">
        <v>195</v>
      </c>
      <c r="B344">
        <v>10</v>
      </c>
      <c r="C344">
        <v>573</v>
      </c>
      <c r="D344">
        <v>573</v>
      </c>
      <c r="E344">
        <v>26</v>
      </c>
      <c r="F344">
        <v>6</v>
      </c>
      <c r="G344" t="b">
        <v>1</v>
      </c>
      <c r="H344" t="b">
        <v>1</v>
      </c>
      <c r="I344" t="b">
        <v>1</v>
      </c>
    </row>
    <row r="345" spans="1:9" x14ac:dyDescent="0.35">
      <c r="A345" t="s">
        <v>207</v>
      </c>
      <c r="B345">
        <v>2</v>
      </c>
      <c r="C345">
        <v>576</v>
      </c>
      <c r="D345">
        <v>580</v>
      </c>
      <c r="E345">
        <v>6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35">
      <c r="A346" t="s">
        <v>201</v>
      </c>
      <c r="B346">
        <v>1</v>
      </c>
      <c r="C346">
        <v>580</v>
      </c>
      <c r="D346">
        <v>582</v>
      </c>
      <c r="E346">
        <v>1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35">
      <c r="A347" t="s">
        <v>209</v>
      </c>
      <c r="B347">
        <v>1</v>
      </c>
      <c r="C347">
        <v>411</v>
      </c>
      <c r="D347">
        <v>415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35">
      <c r="A348" t="s">
        <v>192</v>
      </c>
      <c r="B348">
        <v>1</v>
      </c>
      <c r="C348">
        <v>359</v>
      </c>
      <c r="D348">
        <v>364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35">
      <c r="A349" t="s">
        <v>205</v>
      </c>
      <c r="B349">
        <v>3</v>
      </c>
      <c r="C349">
        <v>587</v>
      </c>
      <c r="D349">
        <v>590</v>
      </c>
      <c r="E349">
        <v>16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35">
      <c r="A350" t="s">
        <v>201</v>
      </c>
      <c r="B350">
        <v>1</v>
      </c>
      <c r="C350">
        <v>580</v>
      </c>
      <c r="D350">
        <v>582</v>
      </c>
      <c r="E350">
        <v>1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35">
      <c r="A351" t="s">
        <v>195</v>
      </c>
      <c r="B351">
        <v>6</v>
      </c>
      <c r="C351">
        <v>573</v>
      </c>
      <c r="D351">
        <v>573</v>
      </c>
      <c r="E351">
        <v>26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35">
      <c r="A352" t="s">
        <v>205</v>
      </c>
      <c r="B352">
        <v>3</v>
      </c>
      <c r="C352">
        <v>578</v>
      </c>
      <c r="D352">
        <v>581</v>
      </c>
      <c r="E352">
        <v>15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35">
      <c r="A353" t="s">
        <v>187</v>
      </c>
      <c r="B353">
        <v>3</v>
      </c>
      <c r="C353">
        <v>569</v>
      </c>
      <c r="D353">
        <v>569</v>
      </c>
      <c r="E353">
        <v>8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35">
      <c r="A354" t="s">
        <v>201</v>
      </c>
      <c r="B354">
        <v>1</v>
      </c>
      <c r="C354">
        <v>580</v>
      </c>
      <c r="D354">
        <v>582</v>
      </c>
      <c r="E354">
        <v>1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35">
      <c r="A355" t="s">
        <v>191</v>
      </c>
      <c r="B355">
        <v>4</v>
      </c>
      <c r="C355">
        <v>570</v>
      </c>
      <c r="D355">
        <v>570</v>
      </c>
      <c r="E355">
        <v>4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35">
      <c r="A356" t="s">
        <v>207</v>
      </c>
      <c r="B356">
        <v>2</v>
      </c>
      <c r="C356">
        <v>576</v>
      </c>
      <c r="D356">
        <v>580</v>
      </c>
      <c r="E356">
        <v>6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35">
      <c r="A357" t="s">
        <v>202</v>
      </c>
      <c r="B357">
        <v>5</v>
      </c>
      <c r="C357">
        <v>357</v>
      </c>
      <c r="D357">
        <v>353</v>
      </c>
      <c r="E357">
        <v>9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35">
      <c r="A358" t="s">
        <v>202</v>
      </c>
      <c r="B358">
        <v>4</v>
      </c>
      <c r="C358">
        <v>149</v>
      </c>
      <c r="D358">
        <v>145</v>
      </c>
      <c r="E358">
        <v>7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35">
      <c r="A359" t="s">
        <v>204</v>
      </c>
      <c r="B359">
        <v>3</v>
      </c>
      <c r="C359">
        <v>405</v>
      </c>
      <c r="D359">
        <v>405</v>
      </c>
      <c r="E359">
        <v>9</v>
      </c>
      <c r="F359">
        <v>2</v>
      </c>
      <c r="G359" t="b">
        <v>1</v>
      </c>
      <c r="H359" t="b">
        <v>1</v>
      </c>
      <c r="I359" t="b">
        <v>1</v>
      </c>
    </row>
    <row r="360" spans="1:9" x14ac:dyDescent="0.35">
      <c r="A360" t="s">
        <v>204</v>
      </c>
      <c r="B360">
        <v>3</v>
      </c>
      <c r="C360">
        <v>405</v>
      </c>
      <c r="D360">
        <v>405</v>
      </c>
      <c r="E360">
        <v>9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35">
      <c r="A361" t="s">
        <v>204</v>
      </c>
      <c r="B361">
        <v>4</v>
      </c>
      <c r="C361">
        <v>405</v>
      </c>
      <c r="D361">
        <v>405</v>
      </c>
      <c r="E361">
        <v>9</v>
      </c>
      <c r="F361">
        <v>6</v>
      </c>
      <c r="G361" t="b">
        <v>1</v>
      </c>
      <c r="H361" t="b">
        <v>1</v>
      </c>
      <c r="I361" t="b">
        <v>1</v>
      </c>
    </row>
    <row r="362" spans="1:9" x14ac:dyDescent="0.35">
      <c r="A362" t="s">
        <v>206</v>
      </c>
      <c r="B362">
        <v>1</v>
      </c>
      <c r="C362">
        <v>387</v>
      </c>
      <c r="D362">
        <v>391</v>
      </c>
      <c r="E362">
        <v>3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35">
      <c r="A363" t="s">
        <v>206</v>
      </c>
      <c r="B363">
        <v>1</v>
      </c>
      <c r="C363">
        <v>387</v>
      </c>
      <c r="D363">
        <v>391</v>
      </c>
      <c r="E363">
        <v>3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35">
      <c r="A364" t="s">
        <v>206</v>
      </c>
      <c r="B364">
        <v>1</v>
      </c>
      <c r="C364">
        <v>618</v>
      </c>
      <c r="D364">
        <v>622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35">
      <c r="A365" t="s">
        <v>206</v>
      </c>
      <c r="B365">
        <v>1</v>
      </c>
      <c r="C365">
        <v>618</v>
      </c>
      <c r="D365">
        <v>622</v>
      </c>
      <c r="E365">
        <v>4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35">
      <c r="A366" t="s">
        <v>205</v>
      </c>
      <c r="B366">
        <v>3</v>
      </c>
      <c r="C366">
        <v>621</v>
      </c>
      <c r="D366">
        <v>624</v>
      </c>
      <c r="E366">
        <v>16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35">
      <c r="A367" t="s">
        <v>204</v>
      </c>
      <c r="B367">
        <v>3</v>
      </c>
      <c r="C367">
        <v>613</v>
      </c>
      <c r="D367">
        <v>613</v>
      </c>
      <c r="E367">
        <v>10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35">
      <c r="A368" t="s">
        <v>205</v>
      </c>
      <c r="B368">
        <v>3</v>
      </c>
      <c r="C368">
        <v>621</v>
      </c>
      <c r="D368">
        <v>624</v>
      </c>
      <c r="E368">
        <v>16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35">
      <c r="A369" t="s">
        <v>204</v>
      </c>
      <c r="B369">
        <v>3</v>
      </c>
      <c r="C369">
        <v>613</v>
      </c>
      <c r="D369">
        <v>613</v>
      </c>
      <c r="E369">
        <v>10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35">
      <c r="A370" t="s">
        <v>196</v>
      </c>
      <c r="B370">
        <v>4</v>
      </c>
      <c r="C370">
        <v>321</v>
      </c>
      <c r="D370">
        <v>318</v>
      </c>
      <c r="E370">
        <v>11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35">
      <c r="A371" t="s">
        <v>205</v>
      </c>
      <c r="B371">
        <v>4</v>
      </c>
      <c r="C371">
        <v>365</v>
      </c>
      <c r="D371">
        <v>368</v>
      </c>
      <c r="E371">
        <v>15</v>
      </c>
      <c r="F371">
        <v>2</v>
      </c>
      <c r="G371" t="b">
        <v>1</v>
      </c>
      <c r="H371" t="b">
        <v>1</v>
      </c>
      <c r="I371" t="b">
        <v>1</v>
      </c>
    </row>
    <row r="372" spans="1:9" x14ac:dyDescent="0.35">
      <c r="A372" t="s">
        <v>204</v>
      </c>
      <c r="B372">
        <v>39</v>
      </c>
      <c r="C372">
        <v>357</v>
      </c>
      <c r="D372">
        <v>357</v>
      </c>
      <c r="E372">
        <v>9</v>
      </c>
      <c r="F372">
        <v>100021</v>
      </c>
      <c r="G372" t="b">
        <v>1</v>
      </c>
      <c r="H372" t="b">
        <v>1</v>
      </c>
      <c r="I372" t="b">
        <v>1</v>
      </c>
    </row>
    <row r="373" spans="1:9" x14ac:dyDescent="0.35">
      <c r="A373" t="s">
        <v>206</v>
      </c>
      <c r="B373">
        <v>1</v>
      </c>
      <c r="C373">
        <v>387</v>
      </c>
      <c r="D373">
        <v>391</v>
      </c>
      <c r="E373">
        <v>3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35">
      <c r="A374" t="s">
        <v>206</v>
      </c>
      <c r="B374">
        <v>1</v>
      </c>
      <c r="C374">
        <v>387</v>
      </c>
      <c r="D374">
        <v>391</v>
      </c>
      <c r="E374">
        <v>3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35">
      <c r="A375" t="s">
        <v>187</v>
      </c>
      <c r="B375">
        <v>1</v>
      </c>
      <c r="C375">
        <v>381</v>
      </c>
      <c r="D375">
        <v>381</v>
      </c>
      <c r="E375">
        <v>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35">
      <c r="A376" t="s">
        <v>212</v>
      </c>
      <c r="B376">
        <v>4</v>
      </c>
      <c r="C376">
        <v>345</v>
      </c>
      <c r="D376">
        <v>342</v>
      </c>
      <c r="E376">
        <v>7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35">
      <c r="A377" t="s">
        <v>212</v>
      </c>
      <c r="B377">
        <v>4</v>
      </c>
      <c r="C377">
        <v>345</v>
      </c>
      <c r="D377">
        <v>342</v>
      </c>
      <c r="E377">
        <v>7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35">
      <c r="A378" t="s">
        <v>213</v>
      </c>
      <c r="B378">
        <v>3</v>
      </c>
      <c r="C378">
        <v>343</v>
      </c>
      <c r="D378">
        <v>340</v>
      </c>
      <c r="E378">
        <v>19</v>
      </c>
      <c r="F378">
        <v>2</v>
      </c>
      <c r="G378" t="b">
        <v>1</v>
      </c>
      <c r="H378" t="b">
        <v>1</v>
      </c>
      <c r="I378" t="b">
        <v>1</v>
      </c>
    </row>
    <row r="379" spans="1:9" x14ac:dyDescent="0.35">
      <c r="A379" t="s">
        <v>212</v>
      </c>
      <c r="B379">
        <v>7</v>
      </c>
      <c r="C379">
        <v>345</v>
      </c>
      <c r="D379">
        <v>342</v>
      </c>
      <c r="E379">
        <v>7</v>
      </c>
      <c r="F379">
        <v>6</v>
      </c>
      <c r="G379" t="b">
        <v>1</v>
      </c>
      <c r="H379" t="b">
        <v>1</v>
      </c>
      <c r="I379" t="b">
        <v>1</v>
      </c>
    </row>
    <row r="380" spans="1:9" x14ac:dyDescent="0.35">
      <c r="A380" t="s">
        <v>164</v>
      </c>
      <c r="B380">
        <v>1</v>
      </c>
      <c r="C380">
        <v>341</v>
      </c>
      <c r="D380">
        <v>344</v>
      </c>
      <c r="E380">
        <v>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35">
      <c r="A381" t="s">
        <v>211</v>
      </c>
      <c r="B381">
        <v>2</v>
      </c>
      <c r="C381">
        <v>635</v>
      </c>
      <c r="D381">
        <v>640</v>
      </c>
      <c r="E381">
        <v>2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35">
      <c r="A382" t="s">
        <v>164</v>
      </c>
      <c r="B382">
        <v>6</v>
      </c>
      <c r="C382">
        <v>638</v>
      </c>
      <c r="D382">
        <v>641</v>
      </c>
      <c r="E382">
        <v>5</v>
      </c>
      <c r="F382">
        <v>3</v>
      </c>
      <c r="G382" t="b">
        <v>1</v>
      </c>
      <c r="H382" t="b">
        <v>1</v>
      </c>
      <c r="I382" t="b">
        <v>1</v>
      </c>
    </row>
    <row r="383" spans="1:9" x14ac:dyDescent="0.35">
      <c r="A383" t="s">
        <v>212</v>
      </c>
      <c r="B383">
        <v>11</v>
      </c>
      <c r="C383">
        <v>642</v>
      </c>
      <c r="D383">
        <v>638</v>
      </c>
      <c r="E383">
        <v>8</v>
      </c>
      <c r="F383">
        <v>6</v>
      </c>
      <c r="G383" t="b">
        <v>1</v>
      </c>
      <c r="H383" t="b">
        <v>1</v>
      </c>
      <c r="I383" t="b">
        <v>1</v>
      </c>
    </row>
    <row r="384" spans="1:9" x14ac:dyDescent="0.35">
      <c r="A384" t="s">
        <v>214</v>
      </c>
      <c r="B384">
        <v>1</v>
      </c>
      <c r="C384">
        <v>85</v>
      </c>
      <c r="D384">
        <v>85</v>
      </c>
      <c r="E384">
        <v>2</v>
      </c>
      <c r="F384">
        <v>2</v>
      </c>
      <c r="G384" t="b">
        <v>1</v>
      </c>
      <c r="H384" t="b">
        <v>1</v>
      </c>
      <c r="I384" t="b">
        <v>1</v>
      </c>
    </row>
    <row r="385" spans="1:9" x14ac:dyDescent="0.35">
      <c r="A385" t="s">
        <v>164</v>
      </c>
      <c r="B385">
        <v>5</v>
      </c>
      <c r="C385">
        <v>171</v>
      </c>
      <c r="D385">
        <v>174</v>
      </c>
      <c r="E385">
        <v>3</v>
      </c>
      <c r="F385">
        <v>4</v>
      </c>
      <c r="G385" t="b">
        <v>1</v>
      </c>
      <c r="H385" t="b">
        <v>1</v>
      </c>
      <c r="I385" t="b">
        <v>1</v>
      </c>
    </row>
    <row r="386" spans="1:9" x14ac:dyDescent="0.35">
      <c r="A386" t="s">
        <v>211</v>
      </c>
      <c r="B386">
        <v>2</v>
      </c>
      <c r="C386">
        <v>635</v>
      </c>
      <c r="D386">
        <v>640</v>
      </c>
      <c r="E386">
        <v>2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35">
      <c r="A387" t="s">
        <v>164</v>
      </c>
      <c r="B387">
        <v>6</v>
      </c>
      <c r="C387">
        <v>638</v>
      </c>
      <c r="D387">
        <v>641</v>
      </c>
      <c r="E387">
        <v>5</v>
      </c>
      <c r="F387">
        <v>3</v>
      </c>
      <c r="G387" t="b">
        <v>1</v>
      </c>
      <c r="H387" t="b">
        <v>1</v>
      </c>
      <c r="I387" t="b">
        <v>1</v>
      </c>
    </row>
    <row r="388" spans="1:9" x14ac:dyDescent="0.35">
      <c r="A388" t="s">
        <v>212</v>
      </c>
      <c r="B388">
        <v>5</v>
      </c>
      <c r="C388">
        <v>642</v>
      </c>
      <c r="D388">
        <v>638</v>
      </c>
      <c r="E388">
        <v>8</v>
      </c>
      <c r="F388">
        <v>2</v>
      </c>
      <c r="G388" t="b">
        <v>1</v>
      </c>
      <c r="H388" t="b">
        <v>1</v>
      </c>
      <c r="I388" t="b">
        <v>1</v>
      </c>
    </row>
    <row r="389" spans="1:9" x14ac:dyDescent="0.35">
      <c r="A389" t="s">
        <v>212</v>
      </c>
      <c r="B389">
        <v>5</v>
      </c>
      <c r="C389">
        <v>642</v>
      </c>
      <c r="D389">
        <v>638</v>
      </c>
      <c r="E389">
        <v>8</v>
      </c>
      <c r="F389">
        <v>2</v>
      </c>
      <c r="G389" t="b">
        <v>1</v>
      </c>
      <c r="H389" t="b">
        <v>1</v>
      </c>
      <c r="I389" t="b">
        <v>1</v>
      </c>
    </row>
    <row r="390" spans="1:9" x14ac:dyDescent="0.35">
      <c r="A390" t="s">
        <v>214</v>
      </c>
      <c r="B390">
        <v>1</v>
      </c>
      <c r="C390">
        <v>85</v>
      </c>
      <c r="D390">
        <v>85</v>
      </c>
      <c r="E390">
        <v>2</v>
      </c>
      <c r="F390">
        <v>2</v>
      </c>
      <c r="G390" t="b">
        <v>1</v>
      </c>
      <c r="H390" t="b">
        <v>1</v>
      </c>
      <c r="I390" t="b">
        <v>1</v>
      </c>
    </row>
    <row r="391" spans="1:9" x14ac:dyDescent="0.35">
      <c r="A391" t="s">
        <v>212</v>
      </c>
      <c r="B391">
        <v>7</v>
      </c>
      <c r="C391">
        <v>345</v>
      </c>
      <c r="D391">
        <v>342</v>
      </c>
      <c r="E391">
        <v>7</v>
      </c>
      <c r="F391">
        <v>6</v>
      </c>
      <c r="G391" t="b">
        <v>1</v>
      </c>
      <c r="H391" t="b">
        <v>1</v>
      </c>
      <c r="I391" t="b">
        <v>1</v>
      </c>
    </row>
    <row r="392" spans="1:9" x14ac:dyDescent="0.35">
      <c r="A392" t="s">
        <v>212</v>
      </c>
      <c r="B392">
        <v>7</v>
      </c>
      <c r="C392">
        <v>345</v>
      </c>
      <c r="D392">
        <v>342</v>
      </c>
      <c r="E392">
        <v>7</v>
      </c>
      <c r="F392">
        <v>6</v>
      </c>
      <c r="G392" t="b">
        <v>1</v>
      </c>
      <c r="H392" t="b">
        <v>1</v>
      </c>
      <c r="I392" t="b">
        <v>1</v>
      </c>
    </row>
    <row r="393" spans="1:9" x14ac:dyDescent="0.35">
      <c r="A393" t="s">
        <v>213</v>
      </c>
      <c r="B393">
        <v>3</v>
      </c>
      <c r="C393">
        <v>343</v>
      </c>
      <c r="D393">
        <v>340</v>
      </c>
      <c r="E393">
        <v>19</v>
      </c>
      <c r="F393">
        <v>2</v>
      </c>
      <c r="G393" t="b">
        <v>1</v>
      </c>
      <c r="H393" t="b">
        <v>1</v>
      </c>
      <c r="I393" t="b">
        <v>1</v>
      </c>
    </row>
    <row r="394" spans="1:9" x14ac:dyDescent="0.35">
      <c r="A394" t="s">
        <v>214</v>
      </c>
      <c r="B394">
        <v>1</v>
      </c>
      <c r="C394">
        <v>44</v>
      </c>
      <c r="D394">
        <v>44</v>
      </c>
      <c r="E394">
        <v>20</v>
      </c>
      <c r="F394">
        <v>2</v>
      </c>
      <c r="G394" t="b">
        <v>1</v>
      </c>
      <c r="H394" t="b">
        <v>1</v>
      </c>
      <c r="I394" t="b">
        <v>1</v>
      </c>
    </row>
    <row r="395" spans="1:9" x14ac:dyDescent="0.35">
      <c r="A395" t="s">
        <v>214</v>
      </c>
      <c r="B395">
        <v>1</v>
      </c>
      <c r="C395">
        <v>169</v>
      </c>
      <c r="D395">
        <v>169</v>
      </c>
      <c r="E395">
        <v>2</v>
      </c>
      <c r="F395">
        <v>2</v>
      </c>
      <c r="G395" t="b">
        <v>1</v>
      </c>
      <c r="H395" t="b">
        <v>1</v>
      </c>
      <c r="I395" t="b">
        <v>1</v>
      </c>
    </row>
    <row r="396" spans="1:9" x14ac:dyDescent="0.35">
      <c r="A396" t="s">
        <v>212</v>
      </c>
      <c r="B396">
        <v>4</v>
      </c>
      <c r="C396">
        <v>345</v>
      </c>
      <c r="D396">
        <v>342</v>
      </c>
      <c r="E396">
        <v>7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35">
      <c r="A397" t="s">
        <v>212</v>
      </c>
      <c r="B397">
        <v>3</v>
      </c>
      <c r="C397">
        <v>175</v>
      </c>
      <c r="D397">
        <v>173</v>
      </c>
      <c r="E397">
        <v>6</v>
      </c>
      <c r="F397">
        <v>2</v>
      </c>
      <c r="G397" t="b">
        <v>1</v>
      </c>
      <c r="H397" t="b">
        <v>1</v>
      </c>
      <c r="I397" t="b">
        <v>1</v>
      </c>
    </row>
    <row r="398" spans="1:9" x14ac:dyDescent="0.35">
      <c r="A398" t="s">
        <v>214</v>
      </c>
      <c r="B398">
        <v>1</v>
      </c>
      <c r="C398">
        <v>85</v>
      </c>
      <c r="D398">
        <v>85</v>
      </c>
      <c r="E398">
        <v>2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35">
      <c r="A399" t="s">
        <v>213</v>
      </c>
      <c r="B399">
        <v>2</v>
      </c>
      <c r="C399">
        <v>173</v>
      </c>
      <c r="D399">
        <v>171</v>
      </c>
      <c r="E399">
        <v>11</v>
      </c>
      <c r="F399">
        <v>2</v>
      </c>
      <c r="G399" t="b">
        <v>1</v>
      </c>
      <c r="H399" t="b">
        <v>1</v>
      </c>
      <c r="I399" t="b">
        <v>1</v>
      </c>
    </row>
    <row r="400" spans="1:9" x14ac:dyDescent="0.35">
      <c r="A400" t="s">
        <v>212</v>
      </c>
      <c r="B400">
        <v>4</v>
      </c>
      <c r="C400">
        <v>345</v>
      </c>
      <c r="D400">
        <v>342</v>
      </c>
      <c r="E400">
        <v>7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35">
      <c r="A401" t="s">
        <v>212</v>
      </c>
      <c r="B401">
        <v>7</v>
      </c>
      <c r="C401">
        <v>345</v>
      </c>
      <c r="D401">
        <v>342</v>
      </c>
      <c r="E401">
        <v>7</v>
      </c>
      <c r="F401">
        <v>6</v>
      </c>
      <c r="G401" t="b">
        <v>1</v>
      </c>
      <c r="H401" t="b">
        <v>1</v>
      </c>
      <c r="I401" t="b">
        <v>1</v>
      </c>
    </row>
    <row r="402" spans="1:9" x14ac:dyDescent="0.35">
      <c r="A402" t="s">
        <v>213</v>
      </c>
      <c r="B402">
        <v>2</v>
      </c>
      <c r="C402">
        <v>173</v>
      </c>
      <c r="D402">
        <v>171</v>
      </c>
      <c r="E402">
        <v>11</v>
      </c>
      <c r="F402">
        <v>2</v>
      </c>
      <c r="G402" t="b">
        <v>1</v>
      </c>
      <c r="H402" t="b">
        <v>1</v>
      </c>
      <c r="I402" t="b">
        <v>1</v>
      </c>
    </row>
    <row r="403" spans="1:9" x14ac:dyDescent="0.35">
      <c r="A403" t="s">
        <v>212</v>
      </c>
      <c r="B403">
        <v>4</v>
      </c>
      <c r="C403">
        <v>345</v>
      </c>
      <c r="D403">
        <v>342</v>
      </c>
      <c r="E403">
        <v>7</v>
      </c>
      <c r="F403">
        <v>2</v>
      </c>
      <c r="G403" t="b">
        <v>1</v>
      </c>
      <c r="H403" t="b">
        <v>1</v>
      </c>
      <c r="I403" t="b">
        <v>1</v>
      </c>
    </row>
    <row r="404" spans="1:9" x14ac:dyDescent="0.35">
      <c r="A404" t="s">
        <v>213</v>
      </c>
      <c r="B404">
        <v>3</v>
      </c>
      <c r="C404">
        <v>343</v>
      </c>
      <c r="D404">
        <v>340</v>
      </c>
      <c r="E404">
        <v>19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35">
      <c r="A405" t="s">
        <v>213</v>
      </c>
      <c r="B405">
        <v>2</v>
      </c>
      <c r="C405">
        <v>173</v>
      </c>
      <c r="D405">
        <v>171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35">
      <c r="A406" t="s">
        <v>212</v>
      </c>
      <c r="B406">
        <v>4</v>
      </c>
      <c r="C406">
        <v>345</v>
      </c>
      <c r="D406">
        <v>342</v>
      </c>
      <c r="E406">
        <v>7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35">
      <c r="A407" t="s">
        <v>213</v>
      </c>
      <c r="B407">
        <v>3</v>
      </c>
      <c r="C407">
        <v>343</v>
      </c>
      <c r="D407">
        <v>340</v>
      </c>
      <c r="E407">
        <v>19</v>
      </c>
      <c r="F407">
        <v>2</v>
      </c>
      <c r="G407" t="b">
        <v>1</v>
      </c>
      <c r="H407" t="b">
        <v>1</v>
      </c>
      <c r="I407" t="b">
        <v>1</v>
      </c>
    </row>
    <row r="408" spans="1:9" x14ac:dyDescent="0.35">
      <c r="A408" t="s">
        <v>213</v>
      </c>
      <c r="B408">
        <v>3</v>
      </c>
      <c r="C408">
        <v>343</v>
      </c>
      <c r="D408">
        <v>340</v>
      </c>
      <c r="E408">
        <v>19</v>
      </c>
      <c r="F408">
        <v>2</v>
      </c>
      <c r="G408" t="b">
        <v>1</v>
      </c>
      <c r="H408" t="b">
        <v>1</v>
      </c>
      <c r="I408" t="b">
        <v>1</v>
      </c>
    </row>
    <row r="409" spans="1:9" x14ac:dyDescent="0.35">
      <c r="A409" t="s">
        <v>212</v>
      </c>
      <c r="B409">
        <v>4</v>
      </c>
      <c r="C409">
        <v>345</v>
      </c>
      <c r="D409">
        <v>342</v>
      </c>
      <c r="E409">
        <v>7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35">
      <c r="A410" t="s">
        <v>212</v>
      </c>
      <c r="B410">
        <v>3</v>
      </c>
      <c r="C410">
        <v>175</v>
      </c>
      <c r="D410">
        <v>173</v>
      </c>
      <c r="E410">
        <v>6</v>
      </c>
      <c r="F410">
        <v>2</v>
      </c>
      <c r="G410" t="b">
        <v>1</v>
      </c>
      <c r="H410" t="b">
        <v>1</v>
      </c>
      <c r="I410" t="b">
        <v>1</v>
      </c>
    </row>
    <row r="411" spans="1:9" x14ac:dyDescent="0.35">
      <c r="A411" t="s">
        <v>213</v>
      </c>
      <c r="B411">
        <v>2</v>
      </c>
      <c r="C411">
        <v>173</v>
      </c>
      <c r="D411">
        <v>171</v>
      </c>
      <c r="E411">
        <v>11</v>
      </c>
      <c r="F411">
        <v>2</v>
      </c>
      <c r="G411" t="b">
        <v>1</v>
      </c>
      <c r="H411" t="b">
        <v>1</v>
      </c>
      <c r="I411" t="b">
        <v>1</v>
      </c>
    </row>
    <row r="412" spans="1:9" x14ac:dyDescent="0.35">
      <c r="A412" t="s">
        <v>212</v>
      </c>
      <c r="B412">
        <v>3</v>
      </c>
      <c r="C412">
        <v>175</v>
      </c>
      <c r="D412">
        <v>173</v>
      </c>
      <c r="E412">
        <v>6</v>
      </c>
      <c r="F412">
        <v>2</v>
      </c>
      <c r="G412" t="b">
        <v>1</v>
      </c>
      <c r="H412" t="b">
        <v>1</v>
      </c>
      <c r="I412" t="b">
        <v>1</v>
      </c>
    </row>
    <row r="413" spans="1:9" x14ac:dyDescent="0.35">
      <c r="A413" t="s">
        <v>213</v>
      </c>
      <c r="B413">
        <v>2</v>
      </c>
      <c r="C413">
        <v>173</v>
      </c>
      <c r="D413">
        <v>171</v>
      </c>
      <c r="E413">
        <v>11</v>
      </c>
      <c r="F413">
        <v>2</v>
      </c>
      <c r="G413" t="b">
        <v>1</v>
      </c>
      <c r="H413" t="b">
        <v>1</v>
      </c>
      <c r="I413" t="b">
        <v>1</v>
      </c>
    </row>
    <row r="414" spans="1:9" x14ac:dyDescent="0.35">
      <c r="A414" t="s">
        <v>164</v>
      </c>
      <c r="B414">
        <v>1</v>
      </c>
      <c r="C414">
        <v>341</v>
      </c>
      <c r="D414">
        <v>344</v>
      </c>
      <c r="E414">
        <v>4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35">
      <c r="A415" t="s">
        <v>212</v>
      </c>
      <c r="B415">
        <v>3</v>
      </c>
      <c r="C415">
        <v>175</v>
      </c>
      <c r="D415">
        <v>173</v>
      </c>
      <c r="E415">
        <v>6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35">
      <c r="A416" t="s">
        <v>164</v>
      </c>
      <c r="B416">
        <v>1</v>
      </c>
      <c r="C416">
        <v>171</v>
      </c>
      <c r="D416">
        <v>174</v>
      </c>
      <c r="E416">
        <v>3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35">
      <c r="A417" t="s">
        <v>214</v>
      </c>
      <c r="B417">
        <v>1</v>
      </c>
      <c r="C417">
        <v>85</v>
      </c>
      <c r="D417">
        <v>85</v>
      </c>
      <c r="E417">
        <v>2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35">
      <c r="A418" t="s">
        <v>164</v>
      </c>
      <c r="B418">
        <v>5</v>
      </c>
      <c r="C418">
        <v>171</v>
      </c>
      <c r="D418">
        <v>174</v>
      </c>
      <c r="E418">
        <v>3</v>
      </c>
      <c r="F418">
        <v>4</v>
      </c>
      <c r="G418" t="b">
        <v>1</v>
      </c>
      <c r="H418" t="b">
        <v>1</v>
      </c>
      <c r="I418" t="b">
        <v>1</v>
      </c>
    </row>
    <row r="419" spans="1:9" x14ac:dyDescent="0.35">
      <c r="A419" t="s">
        <v>212</v>
      </c>
      <c r="B419">
        <v>28</v>
      </c>
      <c r="C419">
        <v>175</v>
      </c>
      <c r="D419">
        <v>173</v>
      </c>
      <c r="E419">
        <v>6</v>
      </c>
      <c r="F419">
        <v>100021</v>
      </c>
      <c r="G419" t="b">
        <v>1</v>
      </c>
      <c r="H419" t="b">
        <v>1</v>
      </c>
      <c r="I419" t="b">
        <v>1</v>
      </c>
    </row>
    <row r="420" spans="1:9" x14ac:dyDescent="0.35">
      <c r="A420" t="s">
        <v>164</v>
      </c>
      <c r="B420">
        <v>1</v>
      </c>
      <c r="C420">
        <v>171</v>
      </c>
      <c r="D420">
        <v>174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35">
      <c r="A421" t="s">
        <v>214</v>
      </c>
      <c r="B421">
        <v>1</v>
      </c>
      <c r="C421">
        <v>85</v>
      </c>
      <c r="D421">
        <v>85</v>
      </c>
      <c r="E421">
        <v>2</v>
      </c>
      <c r="F421">
        <v>2</v>
      </c>
      <c r="G421" t="b">
        <v>1</v>
      </c>
      <c r="H421" t="b">
        <v>1</v>
      </c>
      <c r="I421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8245B-ACAA-4CF6-BED5-F5528E637D34}">
  <dimension ref="A1:V545"/>
  <sheetViews>
    <sheetView workbookViewId="0">
      <selection sqref="A1:I546"/>
    </sheetView>
  </sheetViews>
  <sheetFormatPr defaultRowHeight="14.5" x14ac:dyDescent="0.35"/>
  <sheetData>
    <row r="1" spans="1:22" x14ac:dyDescent="0.35">
      <c r="A1" t="s">
        <v>24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25</v>
      </c>
      <c r="L1" t="s">
        <v>26</v>
      </c>
      <c r="M1" t="s">
        <v>27</v>
      </c>
      <c r="N1" t="s">
        <v>25</v>
      </c>
      <c r="O1" t="s">
        <v>26</v>
      </c>
      <c r="P1" t="s">
        <v>27</v>
      </c>
      <c r="Q1" t="s">
        <v>25</v>
      </c>
      <c r="R1" t="s">
        <v>26</v>
      </c>
      <c r="S1" t="s">
        <v>27</v>
      </c>
      <c r="T1" t="s">
        <v>25</v>
      </c>
      <c r="U1" t="s">
        <v>26</v>
      </c>
      <c r="V1" t="s">
        <v>27</v>
      </c>
    </row>
    <row r="2" spans="1:22" x14ac:dyDescent="0.35">
      <c r="A2" t="s">
        <v>28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334</v>
      </c>
      <c r="L2">
        <f>COUNTIF(B1:B1000,"&lt;=5")</f>
        <v>505</v>
      </c>
      <c r="M2">
        <f>COUNTIF(B1:B1000,"&lt;=10")</f>
        <v>534</v>
      </c>
      <c r="N2">
        <f>COUNTIF(C1:C1000,"=1")</f>
        <v>0</v>
      </c>
      <c r="O2">
        <f>COUNTIF(C1:C1000,"&lt;=5")</f>
        <v>0</v>
      </c>
      <c r="P2">
        <f>COUNTIF(C1:C1000,"&lt;=10")</f>
        <v>2</v>
      </c>
      <c r="Q2">
        <f>COUNTIF(D1:D1000,"=1")</f>
        <v>0</v>
      </c>
      <c r="R2">
        <f>COUNTIF(D1:D1000,"&lt;=5")</f>
        <v>1</v>
      </c>
      <c r="S2">
        <f>COUNTIF(D1:D1000,"&lt;=10")</f>
        <v>2</v>
      </c>
      <c r="T2">
        <f>COUNTIF(E1:E1000,"=1")</f>
        <v>43</v>
      </c>
      <c r="U2">
        <f>COUNTIF(E1:E1000,"&lt;=5")</f>
        <v>159</v>
      </c>
      <c r="V2">
        <f>COUNTIF(E1:E1000,"&lt;=10")</f>
        <v>318</v>
      </c>
    </row>
    <row r="3" spans="1:22" x14ac:dyDescent="0.35">
      <c r="A3" t="s">
        <v>30</v>
      </c>
      <c r="B3">
        <v>4</v>
      </c>
      <c r="C3">
        <v>54</v>
      </c>
      <c r="D3">
        <v>54</v>
      </c>
      <c r="E3">
        <v>8</v>
      </c>
      <c r="F3">
        <v>3</v>
      </c>
      <c r="G3" t="b">
        <v>1</v>
      </c>
      <c r="H3" t="b">
        <v>1</v>
      </c>
      <c r="I3" t="b">
        <v>1</v>
      </c>
    </row>
    <row r="4" spans="1:22" x14ac:dyDescent="0.35">
      <c r="A4" t="s">
        <v>28</v>
      </c>
      <c r="B4">
        <v>2</v>
      </c>
      <c r="C4">
        <v>77</v>
      </c>
      <c r="D4">
        <v>78</v>
      </c>
      <c r="E4">
        <v>8</v>
      </c>
      <c r="F4">
        <v>1</v>
      </c>
      <c r="G4" t="b">
        <v>1</v>
      </c>
      <c r="H4" t="b">
        <v>1</v>
      </c>
      <c r="I4" t="b">
        <v>1</v>
      </c>
    </row>
    <row r="5" spans="1:22" x14ac:dyDescent="0.35">
      <c r="A5" t="s">
        <v>30</v>
      </c>
      <c r="B5">
        <v>4</v>
      </c>
      <c r="C5">
        <v>54</v>
      </c>
      <c r="D5">
        <v>54</v>
      </c>
      <c r="E5">
        <v>8</v>
      </c>
      <c r="F5">
        <v>3</v>
      </c>
      <c r="G5" t="b">
        <v>1</v>
      </c>
      <c r="H5" t="b">
        <v>1</v>
      </c>
      <c r="I5" t="b">
        <v>1</v>
      </c>
    </row>
    <row r="6" spans="1:22" x14ac:dyDescent="0.35">
      <c r="A6" t="s">
        <v>24</v>
      </c>
      <c r="B6">
        <v>1</v>
      </c>
      <c r="C6">
        <v>74</v>
      </c>
      <c r="D6">
        <v>76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35">
      <c r="A7" t="s">
        <v>30</v>
      </c>
      <c r="B7">
        <v>2</v>
      </c>
      <c r="C7">
        <v>21</v>
      </c>
      <c r="D7">
        <v>21</v>
      </c>
      <c r="E7">
        <v>7</v>
      </c>
      <c r="F7">
        <v>1</v>
      </c>
      <c r="G7" t="b">
        <v>1</v>
      </c>
      <c r="H7" t="b">
        <v>1</v>
      </c>
      <c r="I7" t="b">
        <v>1</v>
      </c>
    </row>
    <row r="8" spans="1:22" x14ac:dyDescent="0.35">
      <c r="A8" t="s">
        <v>32</v>
      </c>
      <c r="B8">
        <v>4</v>
      </c>
      <c r="C8">
        <v>116</v>
      </c>
      <c r="D8">
        <v>120</v>
      </c>
      <c r="E8">
        <v>15</v>
      </c>
      <c r="F8">
        <v>2</v>
      </c>
      <c r="G8" t="b">
        <v>1</v>
      </c>
      <c r="H8" t="b">
        <v>1</v>
      </c>
      <c r="I8" t="b">
        <v>1</v>
      </c>
    </row>
    <row r="9" spans="1:22" x14ac:dyDescent="0.35">
      <c r="A9" t="s">
        <v>37</v>
      </c>
      <c r="B9">
        <v>5</v>
      </c>
      <c r="C9">
        <v>87</v>
      </c>
      <c r="D9">
        <v>83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2" x14ac:dyDescent="0.35">
      <c r="A10" t="s">
        <v>306</v>
      </c>
      <c r="B10">
        <v>1</v>
      </c>
      <c r="C10">
        <v>78</v>
      </c>
      <c r="D10">
        <v>85</v>
      </c>
      <c r="E10">
        <v>14</v>
      </c>
      <c r="F10">
        <v>1</v>
      </c>
      <c r="G10" t="b">
        <v>0</v>
      </c>
      <c r="H10" t="b">
        <v>0</v>
      </c>
      <c r="I10" t="b">
        <v>1</v>
      </c>
    </row>
    <row r="11" spans="1:22" x14ac:dyDescent="0.35">
      <c r="A11" t="s">
        <v>33</v>
      </c>
      <c r="B11">
        <v>5</v>
      </c>
      <c r="C11">
        <v>104</v>
      </c>
      <c r="D11">
        <v>99</v>
      </c>
      <c r="E11">
        <v>16</v>
      </c>
      <c r="F11">
        <v>2</v>
      </c>
      <c r="G11" t="b">
        <v>1</v>
      </c>
      <c r="H11" t="b">
        <v>1</v>
      </c>
      <c r="I11" t="b">
        <v>1</v>
      </c>
    </row>
    <row r="12" spans="1:22" x14ac:dyDescent="0.35">
      <c r="A12" t="s">
        <v>35</v>
      </c>
      <c r="B12">
        <v>3</v>
      </c>
      <c r="C12">
        <v>85</v>
      </c>
      <c r="D12">
        <v>81</v>
      </c>
      <c r="E12">
        <v>7</v>
      </c>
      <c r="F12">
        <v>1</v>
      </c>
      <c r="G12" t="b">
        <v>1</v>
      </c>
      <c r="H12" t="b">
        <v>1</v>
      </c>
      <c r="I12" t="b">
        <v>1</v>
      </c>
    </row>
    <row r="13" spans="1:22" x14ac:dyDescent="0.35">
      <c r="A13" t="s">
        <v>35</v>
      </c>
      <c r="B13">
        <v>3</v>
      </c>
      <c r="C13">
        <v>131</v>
      </c>
      <c r="D13">
        <v>127</v>
      </c>
      <c r="E13">
        <v>7</v>
      </c>
      <c r="F13">
        <v>1</v>
      </c>
      <c r="G13" t="b">
        <v>1</v>
      </c>
      <c r="H13" t="b">
        <v>1</v>
      </c>
      <c r="I13" t="b">
        <v>1</v>
      </c>
    </row>
    <row r="14" spans="1:22" x14ac:dyDescent="0.35">
      <c r="A14" t="s">
        <v>39</v>
      </c>
      <c r="B14">
        <v>1</v>
      </c>
      <c r="C14">
        <v>324</v>
      </c>
      <c r="D14">
        <v>326</v>
      </c>
      <c r="E14">
        <v>4</v>
      </c>
      <c r="F14">
        <v>1</v>
      </c>
      <c r="G14" t="b">
        <v>0</v>
      </c>
      <c r="H14" t="b">
        <v>0</v>
      </c>
      <c r="I14" t="b">
        <v>1</v>
      </c>
    </row>
    <row r="15" spans="1:22" x14ac:dyDescent="0.35">
      <c r="A15" t="s">
        <v>40</v>
      </c>
      <c r="B15">
        <v>18</v>
      </c>
      <c r="C15">
        <v>328</v>
      </c>
      <c r="D15">
        <v>329</v>
      </c>
      <c r="E15">
        <v>7</v>
      </c>
      <c r="F15">
        <v>100021</v>
      </c>
      <c r="G15" t="b">
        <v>1</v>
      </c>
      <c r="H15" t="b">
        <v>1</v>
      </c>
      <c r="I15" t="b">
        <v>1</v>
      </c>
    </row>
    <row r="16" spans="1:22" x14ac:dyDescent="0.35">
      <c r="A16" t="s">
        <v>39</v>
      </c>
      <c r="B16">
        <v>1</v>
      </c>
      <c r="C16">
        <v>324</v>
      </c>
      <c r="D16">
        <v>326</v>
      </c>
      <c r="E16">
        <v>4</v>
      </c>
      <c r="F16">
        <v>1</v>
      </c>
      <c r="G16" t="b">
        <v>0</v>
      </c>
      <c r="H16" t="b">
        <v>0</v>
      </c>
      <c r="I16" t="b">
        <v>1</v>
      </c>
    </row>
    <row r="17" spans="1:9" x14ac:dyDescent="0.35">
      <c r="A17" t="s">
        <v>40</v>
      </c>
      <c r="B17">
        <v>18</v>
      </c>
      <c r="C17">
        <v>328</v>
      </c>
      <c r="D17">
        <v>329</v>
      </c>
      <c r="E17">
        <v>7</v>
      </c>
      <c r="F17">
        <v>100021</v>
      </c>
      <c r="G17" t="b">
        <v>1</v>
      </c>
      <c r="H17" t="b">
        <v>1</v>
      </c>
      <c r="I17" t="b">
        <v>1</v>
      </c>
    </row>
    <row r="18" spans="1:9" x14ac:dyDescent="0.35">
      <c r="A18" t="s">
        <v>39</v>
      </c>
      <c r="B18">
        <v>1</v>
      </c>
      <c r="C18">
        <v>324</v>
      </c>
      <c r="D18">
        <v>326</v>
      </c>
      <c r="E18">
        <v>4</v>
      </c>
      <c r="F18">
        <v>1</v>
      </c>
      <c r="G18" t="b">
        <v>1</v>
      </c>
      <c r="H18" t="b">
        <v>1</v>
      </c>
      <c r="I18" t="b">
        <v>1</v>
      </c>
    </row>
    <row r="19" spans="1:9" x14ac:dyDescent="0.35">
      <c r="A19" t="s">
        <v>129</v>
      </c>
      <c r="B19">
        <v>1</v>
      </c>
      <c r="C19">
        <v>326</v>
      </c>
      <c r="D19">
        <v>324</v>
      </c>
      <c r="E19">
        <v>3</v>
      </c>
      <c r="F19">
        <v>1</v>
      </c>
      <c r="G19" t="b">
        <v>0</v>
      </c>
      <c r="H19" t="b">
        <v>0</v>
      </c>
      <c r="I19" t="b">
        <v>1</v>
      </c>
    </row>
    <row r="20" spans="1:9" x14ac:dyDescent="0.35">
      <c r="A20" t="s">
        <v>39</v>
      </c>
      <c r="B20">
        <v>1</v>
      </c>
      <c r="C20">
        <v>324</v>
      </c>
      <c r="D20">
        <v>326</v>
      </c>
      <c r="E20">
        <v>4</v>
      </c>
      <c r="F20">
        <v>1</v>
      </c>
      <c r="G20" t="b">
        <v>0</v>
      </c>
      <c r="H20" t="b">
        <v>0</v>
      </c>
      <c r="I20" t="b">
        <v>1</v>
      </c>
    </row>
    <row r="21" spans="1:9" x14ac:dyDescent="0.35">
      <c r="A21" t="s">
        <v>39</v>
      </c>
      <c r="B21">
        <v>1</v>
      </c>
      <c r="C21">
        <v>324</v>
      </c>
      <c r="D21">
        <v>326</v>
      </c>
      <c r="E21">
        <v>4</v>
      </c>
      <c r="F21">
        <v>1</v>
      </c>
      <c r="G21" t="b">
        <v>1</v>
      </c>
      <c r="H21" t="b">
        <v>1</v>
      </c>
      <c r="I21" t="b">
        <v>1</v>
      </c>
    </row>
    <row r="22" spans="1:9" x14ac:dyDescent="0.35">
      <c r="A22" t="s">
        <v>39</v>
      </c>
      <c r="B22">
        <v>1</v>
      </c>
      <c r="C22">
        <v>324</v>
      </c>
      <c r="D22">
        <v>326</v>
      </c>
      <c r="E22">
        <v>4</v>
      </c>
      <c r="F22">
        <v>1</v>
      </c>
      <c r="G22" t="b">
        <v>0</v>
      </c>
      <c r="H22" t="b">
        <v>0</v>
      </c>
      <c r="I22" t="b">
        <v>1</v>
      </c>
    </row>
    <row r="23" spans="1:9" x14ac:dyDescent="0.35">
      <c r="A23" t="s">
        <v>45</v>
      </c>
      <c r="B23">
        <v>1</v>
      </c>
      <c r="C23">
        <v>87</v>
      </c>
      <c r="D23">
        <v>90</v>
      </c>
      <c r="E23">
        <v>3</v>
      </c>
      <c r="F23">
        <v>1</v>
      </c>
      <c r="G23" t="b">
        <v>0</v>
      </c>
      <c r="H23" t="b">
        <v>0</v>
      </c>
      <c r="I23" t="b">
        <v>1</v>
      </c>
    </row>
    <row r="24" spans="1:9" x14ac:dyDescent="0.35">
      <c r="A24" t="s">
        <v>46</v>
      </c>
      <c r="B24">
        <v>2</v>
      </c>
      <c r="C24">
        <v>48</v>
      </c>
      <c r="D24">
        <v>46</v>
      </c>
      <c r="E24">
        <v>9</v>
      </c>
      <c r="F24">
        <v>2</v>
      </c>
      <c r="G24" t="b">
        <v>1</v>
      </c>
      <c r="H24" t="b">
        <v>1</v>
      </c>
      <c r="I24" t="b">
        <v>1</v>
      </c>
    </row>
    <row r="25" spans="1:9" x14ac:dyDescent="0.35">
      <c r="A25" t="s">
        <v>285</v>
      </c>
      <c r="B25">
        <v>1</v>
      </c>
      <c r="C25">
        <v>49</v>
      </c>
      <c r="D25">
        <v>58</v>
      </c>
      <c r="E25">
        <v>12</v>
      </c>
      <c r="F25">
        <v>1</v>
      </c>
      <c r="G25" t="b">
        <v>0</v>
      </c>
      <c r="H25" t="b">
        <v>0</v>
      </c>
      <c r="I25" t="b">
        <v>1</v>
      </c>
    </row>
    <row r="26" spans="1:9" x14ac:dyDescent="0.35">
      <c r="A26" t="s">
        <v>45</v>
      </c>
      <c r="B26">
        <v>1</v>
      </c>
      <c r="C26">
        <v>87</v>
      </c>
      <c r="D26">
        <v>90</v>
      </c>
      <c r="E26">
        <v>3</v>
      </c>
      <c r="F26">
        <v>1</v>
      </c>
      <c r="G26" t="b">
        <v>0</v>
      </c>
      <c r="H26" t="b">
        <v>0</v>
      </c>
      <c r="I26" t="b">
        <v>1</v>
      </c>
    </row>
    <row r="27" spans="1:9" x14ac:dyDescent="0.35">
      <c r="A27" t="s">
        <v>44</v>
      </c>
      <c r="B27">
        <v>1</v>
      </c>
      <c r="C27">
        <v>44</v>
      </c>
      <c r="D27">
        <v>44</v>
      </c>
      <c r="E27">
        <v>5</v>
      </c>
      <c r="F27">
        <v>1</v>
      </c>
      <c r="G27" t="b">
        <v>1</v>
      </c>
      <c r="H27" t="b">
        <v>1</v>
      </c>
      <c r="I27" t="b">
        <v>1</v>
      </c>
    </row>
    <row r="28" spans="1:9" x14ac:dyDescent="0.35">
      <c r="A28" t="s">
        <v>45</v>
      </c>
      <c r="B28">
        <v>1</v>
      </c>
      <c r="C28">
        <v>45</v>
      </c>
      <c r="D28">
        <v>48</v>
      </c>
      <c r="E28">
        <v>2</v>
      </c>
      <c r="F28">
        <v>1</v>
      </c>
      <c r="G28" t="b">
        <v>1</v>
      </c>
      <c r="H28" t="b">
        <v>1</v>
      </c>
      <c r="I28" t="b">
        <v>1</v>
      </c>
    </row>
    <row r="29" spans="1:9" x14ac:dyDescent="0.35">
      <c r="A29" t="s">
        <v>47</v>
      </c>
      <c r="B29">
        <v>2</v>
      </c>
      <c r="C29">
        <v>240</v>
      </c>
      <c r="D29">
        <v>240</v>
      </c>
      <c r="E29">
        <v>5</v>
      </c>
      <c r="F29">
        <v>1</v>
      </c>
      <c r="G29" t="b">
        <v>1</v>
      </c>
      <c r="H29" t="b">
        <v>1</v>
      </c>
      <c r="I29" t="b">
        <v>1</v>
      </c>
    </row>
    <row r="30" spans="1:9" x14ac:dyDescent="0.35">
      <c r="A30" t="s">
        <v>35</v>
      </c>
      <c r="B30">
        <v>3</v>
      </c>
      <c r="C30">
        <v>178</v>
      </c>
      <c r="D30">
        <v>177</v>
      </c>
      <c r="E30">
        <v>7</v>
      </c>
      <c r="F30">
        <v>2</v>
      </c>
      <c r="G30" t="b">
        <v>1</v>
      </c>
      <c r="H30" t="b">
        <v>1</v>
      </c>
      <c r="I30" t="b">
        <v>1</v>
      </c>
    </row>
    <row r="31" spans="1:9" x14ac:dyDescent="0.35">
      <c r="A31" t="s">
        <v>35</v>
      </c>
      <c r="B31">
        <v>3</v>
      </c>
      <c r="C31">
        <v>178</v>
      </c>
      <c r="D31">
        <v>177</v>
      </c>
      <c r="E31">
        <v>7</v>
      </c>
      <c r="F31">
        <v>2</v>
      </c>
      <c r="G31" t="b">
        <v>1</v>
      </c>
      <c r="H31" t="b">
        <v>1</v>
      </c>
      <c r="I31" t="b">
        <v>1</v>
      </c>
    </row>
    <row r="32" spans="1:9" x14ac:dyDescent="0.35">
      <c r="A32" t="s">
        <v>44</v>
      </c>
      <c r="B32">
        <v>1</v>
      </c>
      <c r="C32">
        <v>281</v>
      </c>
      <c r="D32">
        <v>281</v>
      </c>
      <c r="E32">
        <v>4</v>
      </c>
      <c r="F32">
        <v>2</v>
      </c>
      <c r="G32" t="b">
        <v>0</v>
      </c>
      <c r="H32" t="b">
        <v>0</v>
      </c>
      <c r="I32" t="b">
        <v>1</v>
      </c>
    </row>
    <row r="33" spans="1:9" x14ac:dyDescent="0.35">
      <c r="A33" t="s">
        <v>44</v>
      </c>
      <c r="B33">
        <v>1</v>
      </c>
      <c r="C33">
        <v>281</v>
      </c>
      <c r="D33">
        <v>281</v>
      </c>
      <c r="E33">
        <v>4</v>
      </c>
      <c r="F33">
        <v>2</v>
      </c>
      <c r="G33" t="b">
        <v>0</v>
      </c>
      <c r="H33" t="b">
        <v>0</v>
      </c>
      <c r="I33" t="b">
        <v>1</v>
      </c>
    </row>
    <row r="34" spans="1:9" x14ac:dyDescent="0.35">
      <c r="A34" t="s">
        <v>44</v>
      </c>
      <c r="B34">
        <v>1</v>
      </c>
      <c r="C34">
        <v>281</v>
      </c>
      <c r="D34">
        <v>281</v>
      </c>
      <c r="E34">
        <v>4</v>
      </c>
      <c r="F34">
        <v>1</v>
      </c>
      <c r="G34" t="b">
        <v>0</v>
      </c>
      <c r="H34" t="b">
        <v>0</v>
      </c>
      <c r="I34" t="b">
        <v>1</v>
      </c>
    </row>
    <row r="35" spans="1:9" x14ac:dyDescent="0.35">
      <c r="A35" t="s">
        <v>56</v>
      </c>
      <c r="B35">
        <v>1</v>
      </c>
      <c r="C35">
        <v>283</v>
      </c>
      <c r="D35">
        <v>283</v>
      </c>
      <c r="E35">
        <v>6</v>
      </c>
      <c r="F35">
        <v>1</v>
      </c>
      <c r="G35" t="b">
        <v>0</v>
      </c>
      <c r="H35" t="b">
        <v>0</v>
      </c>
      <c r="I35" t="b">
        <v>1</v>
      </c>
    </row>
    <row r="36" spans="1:9" x14ac:dyDescent="0.35">
      <c r="A36" t="s">
        <v>56</v>
      </c>
      <c r="B36">
        <v>1</v>
      </c>
      <c r="C36">
        <v>480</v>
      </c>
      <c r="D36">
        <v>480</v>
      </c>
      <c r="E36">
        <v>7</v>
      </c>
      <c r="F36">
        <v>1</v>
      </c>
      <c r="G36" t="b">
        <v>0</v>
      </c>
      <c r="H36" t="b">
        <v>0</v>
      </c>
      <c r="I36" t="b">
        <v>1</v>
      </c>
    </row>
    <row r="37" spans="1:9" x14ac:dyDescent="0.35">
      <c r="A37" t="s">
        <v>44</v>
      </c>
      <c r="B37">
        <v>1</v>
      </c>
      <c r="C37">
        <v>324</v>
      </c>
      <c r="D37">
        <v>323</v>
      </c>
      <c r="E37">
        <v>5</v>
      </c>
      <c r="F37">
        <v>2</v>
      </c>
      <c r="G37" t="b">
        <v>0</v>
      </c>
      <c r="H37" t="b">
        <v>0</v>
      </c>
      <c r="I37" t="b">
        <v>1</v>
      </c>
    </row>
    <row r="38" spans="1:9" x14ac:dyDescent="0.35">
      <c r="A38" t="s">
        <v>52</v>
      </c>
      <c r="B38">
        <v>1</v>
      </c>
      <c r="C38">
        <v>323</v>
      </c>
      <c r="D38">
        <v>333</v>
      </c>
      <c r="E38">
        <v>1</v>
      </c>
      <c r="F38">
        <v>1</v>
      </c>
      <c r="G38" t="b">
        <v>1</v>
      </c>
      <c r="H38" t="b">
        <v>1</v>
      </c>
      <c r="I38" t="b">
        <v>1</v>
      </c>
    </row>
    <row r="39" spans="1:9" x14ac:dyDescent="0.35">
      <c r="A39" t="s">
        <v>56</v>
      </c>
      <c r="B39">
        <v>1</v>
      </c>
      <c r="C39">
        <v>480</v>
      </c>
      <c r="D39">
        <v>480</v>
      </c>
      <c r="E39">
        <v>7</v>
      </c>
      <c r="F39">
        <v>1</v>
      </c>
      <c r="G39" t="b">
        <v>0</v>
      </c>
      <c r="H39" t="b">
        <v>0</v>
      </c>
      <c r="I39" t="b">
        <v>1</v>
      </c>
    </row>
    <row r="40" spans="1:9" x14ac:dyDescent="0.35">
      <c r="A40" t="s">
        <v>44</v>
      </c>
      <c r="B40">
        <v>1</v>
      </c>
      <c r="C40">
        <v>324</v>
      </c>
      <c r="D40">
        <v>323</v>
      </c>
      <c r="E40">
        <v>5</v>
      </c>
      <c r="F40">
        <v>2</v>
      </c>
      <c r="G40" t="b">
        <v>0</v>
      </c>
      <c r="H40" t="b">
        <v>0</v>
      </c>
      <c r="I40" t="b">
        <v>1</v>
      </c>
    </row>
    <row r="41" spans="1:9" x14ac:dyDescent="0.35">
      <c r="A41" t="s">
        <v>52</v>
      </c>
      <c r="B41">
        <v>1</v>
      </c>
      <c r="C41">
        <v>323</v>
      </c>
      <c r="D41">
        <v>333</v>
      </c>
      <c r="E41">
        <v>1</v>
      </c>
      <c r="F41">
        <v>1</v>
      </c>
      <c r="G41" t="b">
        <v>1</v>
      </c>
      <c r="H41" t="b">
        <v>1</v>
      </c>
      <c r="I41" t="b">
        <v>1</v>
      </c>
    </row>
    <row r="42" spans="1:9" x14ac:dyDescent="0.35">
      <c r="A42" t="s">
        <v>56</v>
      </c>
      <c r="B42">
        <v>1</v>
      </c>
      <c r="C42">
        <v>532</v>
      </c>
      <c r="D42">
        <v>531</v>
      </c>
      <c r="E42">
        <v>8</v>
      </c>
      <c r="F42">
        <v>1</v>
      </c>
      <c r="G42" t="b">
        <v>1</v>
      </c>
      <c r="H42" t="b">
        <v>1</v>
      </c>
      <c r="I42" t="b">
        <v>1</v>
      </c>
    </row>
    <row r="43" spans="1:9" x14ac:dyDescent="0.35">
      <c r="A43" t="s">
        <v>56</v>
      </c>
      <c r="B43">
        <v>1</v>
      </c>
      <c r="C43">
        <v>326</v>
      </c>
      <c r="D43">
        <v>325</v>
      </c>
      <c r="E43">
        <v>7</v>
      </c>
      <c r="F43">
        <v>1</v>
      </c>
      <c r="G43" t="b">
        <v>1</v>
      </c>
      <c r="H43" t="b">
        <v>1</v>
      </c>
      <c r="I43" t="b">
        <v>1</v>
      </c>
    </row>
    <row r="44" spans="1:9" x14ac:dyDescent="0.35">
      <c r="A44" t="s">
        <v>44</v>
      </c>
      <c r="B44">
        <v>1</v>
      </c>
      <c r="C44">
        <v>324</v>
      </c>
      <c r="D44">
        <v>323</v>
      </c>
      <c r="E44">
        <v>5</v>
      </c>
      <c r="F44">
        <v>2</v>
      </c>
      <c r="G44" t="b">
        <v>0</v>
      </c>
      <c r="H44" t="b">
        <v>0</v>
      </c>
      <c r="I44" t="b">
        <v>1</v>
      </c>
    </row>
    <row r="45" spans="1:9" x14ac:dyDescent="0.35">
      <c r="A45" t="s">
        <v>52</v>
      </c>
      <c r="B45">
        <v>1</v>
      </c>
      <c r="C45">
        <v>323</v>
      </c>
      <c r="D45">
        <v>333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35">
      <c r="A46" t="s">
        <v>56</v>
      </c>
      <c r="B46">
        <v>1</v>
      </c>
      <c r="C46">
        <v>480</v>
      </c>
      <c r="D46">
        <v>480</v>
      </c>
      <c r="E46">
        <v>7</v>
      </c>
      <c r="F46">
        <v>1</v>
      </c>
      <c r="G46" t="b">
        <v>0</v>
      </c>
      <c r="H46" t="b">
        <v>0</v>
      </c>
      <c r="I46" t="b">
        <v>1</v>
      </c>
    </row>
    <row r="47" spans="1:9" x14ac:dyDescent="0.35">
      <c r="A47" t="s">
        <v>56</v>
      </c>
      <c r="B47">
        <v>2</v>
      </c>
      <c r="C47">
        <v>480</v>
      </c>
      <c r="D47">
        <v>480</v>
      </c>
      <c r="E47">
        <v>7</v>
      </c>
      <c r="F47">
        <v>2</v>
      </c>
      <c r="G47" t="b">
        <v>1</v>
      </c>
      <c r="H47" t="b">
        <v>1</v>
      </c>
      <c r="I47" t="b">
        <v>1</v>
      </c>
    </row>
    <row r="48" spans="1:9" x14ac:dyDescent="0.35">
      <c r="A48" t="s">
        <v>53</v>
      </c>
      <c r="B48">
        <v>2</v>
      </c>
      <c r="C48">
        <v>290</v>
      </c>
      <c r="D48">
        <v>289</v>
      </c>
      <c r="E48">
        <v>12</v>
      </c>
      <c r="F48">
        <v>1</v>
      </c>
      <c r="G48" t="b">
        <v>0</v>
      </c>
      <c r="H48" t="b">
        <v>0</v>
      </c>
      <c r="I48" t="b">
        <v>1</v>
      </c>
    </row>
    <row r="49" spans="1:9" x14ac:dyDescent="0.35">
      <c r="A49" t="s">
        <v>44</v>
      </c>
      <c r="B49">
        <v>1</v>
      </c>
      <c r="C49">
        <v>281</v>
      </c>
      <c r="D49">
        <v>281</v>
      </c>
      <c r="E49">
        <v>4</v>
      </c>
      <c r="F49">
        <v>1</v>
      </c>
      <c r="G49" t="b">
        <v>0</v>
      </c>
      <c r="H49" t="b">
        <v>0</v>
      </c>
      <c r="I49" t="b">
        <v>1</v>
      </c>
    </row>
    <row r="50" spans="1:9" x14ac:dyDescent="0.35">
      <c r="A50" t="s">
        <v>307</v>
      </c>
      <c r="B50">
        <v>2</v>
      </c>
      <c r="C50">
        <v>257</v>
      </c>
      <c r="D50">
        <v>507</v>
      </c>
      <c r="E50">
        <v>33</v>
      </c>
      <c r="F50">
        <v>1</v>
      </c>
      <c r="G50" t="b">
        <v>0</v>
      </c>
      <c r="H50" t="b">
        <v>0</v>
      </c>
      <c r="I50" t="b">
        <v>1</v>
      </c>
    </row>
    <row r="51" spans="1:9" x14ac:dyDescent="0.35">
      <c r="A51" t="s">
        <v>52</v>
      </c>
      <c r="B51">
        <v>1</v>
      </c>
      <c r="C51">
        <v>529</v>
      </c>
      <c r="D51">
        <v>539</v>
      </c>
      <c r="E51">
        <v>1</v>
      </c>
      <c r="F51">
        <v>1</v>
      </c>
      <c r="G51" t="b">
        <v>0</v>
      </c>
      <c r="H51" t="b">
        <v>0</v>
      </c>
      <c r="I51" t="b">
        <v>1</v>
      </c>
    </row>
    <row r="52" spans="1:9" x14ac:dyDescent="0.35">
      <c r="A52" t="s">
        <v>54</v>
      </c>
      <c r="B52">
        <v>2</v>
      </c>
      <c r="C52">
        <v>535</v>
      </c>
      <c r="D52">
        <v>541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35">
      <c r="A53" t="s">
        <v>286</v>
      </c>
      <c r="B53">
        <v>1</v>
      </c>
      <c r="C53">
        <v>172</v>
      </c>
      <c r="D53">
        <v>433</v>
      </c>
      <c r="E53">
        <v>21</v>
      </c>
      <c r="F53">
        <v>1</v>
      </c>
      <c r="G53" t="b">
        <v>0</v>
      </c>
      <c r="H53" t="b">
        <v>0</v>
      </c>
      <c r="I53" t="b">
        <v>1</v>
      </c>
    </row>
    <row r="54" spans="1:9" x14ac:dyDescent="0.35">
      <c r="A54" t="s">
        <v>44</v>
      </c>
      <c r="B54">
        <v>1</v>
      </c>
      <c r="C54">
        <v>478</v>
      </c>
      <c r="D54">
        <v>478</v>
      </c>
      <c r="E54">
        <v>5</v>
      </c>
      <c r="F54">
        <v>2</v>
      </c>
      <c r="G54" t="b">
        <v>0</v>
      </c>
      <c r="H54" t="b">
        <v>0</v>
      </c>
      <c r="I54" t="b">
        <v>1</v>
      </c>
    </row>
    <row r="55" spans="1:9" x14ac:dyDescent="0.35">
      <c r="A55" t="s">
        <v>54</v>
      </c>
      <c r="B55">
        <v>1</v>
      </c>
      <c r="C55">
        <v>483</v>
      </c>
      <c r="D55">
        <v>489</v>
      </c>
      <c r="E55">
        <v>1</v>
      </c>
      <c r="F55">
        <v>1</v>
      </c>
      <c r="G55" t="b">
        <v>1</v>
      </c>
      <c r="H55" t="b">
        <v>1</v>
      </c>
      <c r="I55" t="b">
        <v>1</v>
      </c>
    </row>
    <row r="56" spans="1:9" x14ac:dyDescent="0.35">
      <c r="A56" t="s">
        <v>35</v>
      </c>
      <c r="B56">
        <v>3</v>
      </c>
      <c r="C56">
        <v>178</v>
      </c>
      <c r="D56">
        <v>177</v>
      </c>
      <c r="E56">
        <v>7</v>
      </c>
      <c r="F56">
        <v>1</v>
      </c>
      <c r="G56" t="b">
        <v>1</v>
      </c>
      <c r="H56" t="b">
        <v>1</v>
      </c>
      <c r="I56" t="b">
        <v>1</v>
      </c>
    </row>
    <row r="57" spans="1:9" x14ac:dyDescent="0.35">
      <c r="A57" t="s">
        <v>35</v>
      </c>
      <c r="B57">
        <v>3</v>
      </c>
      <c r="C57">
        <v>117</v>
      </c>
      <c r="D57">
        <v>116</v>
      </c>
      <c r="E57">
        <v>7</v>
      </c>
      <c r="F57">
        <v>2</v>
      </c>
      <c r="G57" t="b">
        <v>1</v>
      </c>
      <c r="H57" t="b">
        <v>1</v>
      </c>
      <c r="I57" t="b">
        <v>1</v>
      </c>
    </row>
    <row r="58" spans="1:9" x14ac:dyDescent="0.35">
      <c r="A58" t="s">
        <v>307</v>
      </c>
      <c r="B58">
        <v>1</v>
      </c>
      <c r="C58">
        <v>143</v>
      </c>
      <c r="D58">
        <v>261</v>
      </c>
      <c r="E58">
        <v>25</v>
      </c>
      <c r="F58">
        <v>1</v>
      </c>
      <c r="G58" t="b">
        <v>0</v>
      </c>
      <c r="H58" t="b">
        <v>0</v>
      </c>
      <c r="I58" t="b">
        <v>1</v>
      </c>
    </row>
    <row r="59" spans="1:9" x14ac:dyDescent="0.35">
      <c r="A59" t="s">
        <v>307</v>
      </c>
      <c r="B59">
        <v>1</v>
      </c>
      <c r="C59">
        <v>143</v>
      </c>
      <c r="D59">
        <v>261</v>
      </c>
      <c r="E59">
        <v>25</v>
      </c>
      <c r="F59">
        <v>1</v>
      </c>
      <c r="G59" t="b">
        <v>0</v>
      </c>
      <c r="H59" t="b">
        <v>0</v>
      </c>
      <c r="I59" t="b">
        <v>1</v>
      </c>
    </row>
    <row r="60" spans="1:9" x14ac:dyDescent="0.35">
      <c r="A60" t="s">
        <v>307</v>
      </c>
      <c r="B60">
        <v>1</v>
      </c>
      <c r="C60">
        <v>143</v>
      </c>
      <c r="D60">
        <v>261</v>
      </c>
      <c r="E60">
        <v>25</v>
      </c>
      <c r="F60">
        <v>1</v>
      </c>
      <c r="G60" t="b">
        <v>0</v>
      </c>
      <c r="H60" t="b">
        <v>0</v>
      </c>
      <c r="I60" t="b">
        <v>1</v>
      </c>
    </row>
    <row r="61" spans="1:9" x14ac:dyDescent="0.35">
      <c r="A61" t="s">
        <v>307</v>
      </c>
      <c r="B61">
        <v>1</v>
      </c>
      <c r="C61">
        <v>143</v>
      </c>
      <c r="D61">
        <v>261</v>
      </c>
      <c r="E61">
        <v>25</v>
      </c>
      <c r="F61">
        <v>1</v>
      </c>
      <c r="G61" t="b">
        <v>0</v>
      </c>
      <c r="H61" t="b">
        <v>0</v>
      </c>
      <c r="I61" t="b">
        <v>1</v>
      </c>
    </row>
    <row r="62" spans="1:9" x14ac:dyDescent="0.35">
      <c r="A62" t="s">
        <v>307</v>
      </c>
      <c r="B62">
        <v>1</v>
      </c>
      <c r="C62">
        <v>143</v>
      </c>
      <c r="D62">
        <v>261</v>
      </c>
      <c r="E62">
        <v>25</v>
      </c>
      <c r="F62">
        <v>1</v>
      </c>
      <c r="G62" t="b">
        <v>0</v>
      </c>
      <c r="H62" t="b">
        <v>0</v>
      </c>
      <c r="I62" t="b">
        <v>1</v>
      </c>
    </row>
    <row r="63" spans="1:9" x14ac:dyDescent="0.35">
      <c r="A63" t="s">
        <v>307</v>
      </c>
      <c r="B63">
        <v>1</v>
      </c>
      <c r="C63">
        <v>143</v>
      </c>
      <c r="D63">
        <v>261</v>
      </c>
      <c r="E63">
        <v>25</v>
      </c>
      <c r="F63">
        <v>1</v>
      </c>
      <c r="G63" t="b">
        <v>0</v>
      </c>
      <c r="H63" t="b">
        <v>0</v>
      </c>
      <c r="I63" t="b">
        <v>1</v>
      </c>
    </row>
    <row r="64" spans="1:9" x14ac:dyDescent="0.35">
      <c r="A64" t="s">
        <v>56</v>
      </c>
      <c r="B64">
        <v>1</v>
      </c>
      <c r="C64">
        <v>175</v>
      </c>
      <c r="D64">
        <v>175</v>
      </c>
      <c r="E64">
        <v>6</v>
      </c>
      <c r="F64">
        <v>1</v>
      </c>
      <c r="G64" t="b">
        <v>0</v>
      </c>
      <c r="H64" t="b">
        <v>0</v>
      </c>
      <c r="I64" t="b">
        <v>1</v>
      </c>
    </row>
    <row r="65" spans="1:9" x14ac:dyDescent="0.35">
      <c r="A65" t="s">
        <v>53</v>
      </c>
      <c r="B65">
        <v>7</v>
      </c>
      <c r="C65">
        <v>191</v>
      </c>
      <c r="D65">
        <v>189</v>
      </c>
      <c r="E65">
        <v>13</v>
      </c>
      <c r="F65">
        <v>3</v>
      </c>
      <c r="G65" t="b">
        <v>1</v>
      </c>
      <c r="H65" t="b">
        <v>1</v>
      </c>
      <c r="I65" t="b">
        <v>1</v>
      </c>
    </row>
    <row r="66" spans="1:9" x14ac:dyDescent="0.35">
      <c r="A66" t="s">
        <v>44</v>
      </c>
      <c r="B66">
        <v>1</v>
      </c>
      <c r="C66">
        <v>207</v>
      </c>
      <c r="D66">
        <v>206</v>
      </c>
      <c r="E66">
        <v>5</v>
      </c>
      <c r="F66">
        <v>2</v>
      </c>
      <c r="G66" t="b">
        <v>0</v>
      </c>
      <c r="H66" t="b">
        <v>0</v>
      </c>
      <c r="I66" t="b">
        <v>1</v>
      </c>
    </row>
    <row r="67" spans="1:9" x14ac:dyDescent="0.35">
      <c r="A67" t="s">
        <v>52</v>
      </c>
      <c r="B67">
        <v>1</v>
      </c>
      <c r="C67">
        <v>206</v>
      </c>
      <c r="D67">
        <v>216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35">
      <c r="A68" t="s">
        <v>61</v>
      </c>
      <c r="B68">
        <v>1</v>
      </c>
      <c r="C68">
        <v>274</v>
      </c>
      <c r="D68">
        <v>284</v>
      </c>
      <c r="E68">
        <v>2</v>
      </c>
      <c r="F68">
        <v>1</v>
      </c>
      <c r="G68" t="b">
        <v>1</v>
      </c>
      <c r="H68" t="b">
        <v>1</v>
      </c>
      <c r="I68" t="b">
        <v>1</v>
      </c>
    </row>
    <row r="69" spans="1:9" x14ac:dyDescent="0.35">
      <c r="A69" t="s">
        <v>287</v>
      </c>
      <c r="B69">
        <v>1</v>
      </c>
      <c r="C69">
        <v>96</v>
      </c>
      <c r="D69">
        <v>227</v>
      </c>
      <c r="E69">
        <v>29</v>
      </c>
      <c r="F69">
        <v>1</v>
      </c>
      <c r="G69" t="b">
        <v>0</v>
      </c>
      <c r="H69" t="b">
        <v>0</v>
      </c>
      <c r="I69" t="b">
        <v>1</v>
      </c>
    </row>
    <row r="70" spans="1:9" x14ac:dyDescent="0.35">
      <c r="A70" t="s">
        <v>62</v>
      </c>
      <c r="B70">
        <v>2</v>
      </c>
      <c r="C70">
        <v>275</v>
      </c>
      <c r="D70">
        <v>285</v>
      </c>
      <c r="E70">
        <v>3</v>
      </c>
      <c r="F70">
        <v>1</v>
      </c>
      <c r="G70" t="b">
        <v>1</v>
      </c>
      <c r="H70" t="b">
        <v>1</v>
      </c>
      <c r="I70" t="b">
        <v>1</v>
      </c>
    </row>
    <row r="71" spans="1:9" x14ac:dyDescent="0.35">
      <c r="A71" t="s">
        <v>287</v>
      </c>
      <c r="B71">
        <v>1</v>
      </c>
      <c r="C71">
        <v>96</v>
      </c>
      <c r="D71">
        <v>227</v>
      </c>
      <c r="E71">
        <v>29</v>
      </c>
      <c r="F71">
        <v>1</v>
      </c>
      <c r="G71" t="b">
        <v>0</v>
      </c>
      <c r="H71" t="b">
        <v>0</v>
      </c>
      <c r="I71" t="b">
        <v>1</v>
      </c>
    </row>
    <row r="72" spans="1:9" x14ac:dyDescent="0.35">
      <c r="A72" t="s">
        <v>44</v>
      </c>
      <c r="B72">
        <v>1</v>
      </c>
      <c r="C72">
        <v>207</v>
      </c>
      <c r="D72">
        <v>206</v>
      </c>
      <c r="E72">
        <v>5</v>
      </c>
      <c r="F72">
        <v>2</v>
      </c>
      <c r="G72" t="b">
        <v>0</v>
      </c>
      <c r="H72" t="b">
        <v>0</v>
      </c>
      <c r="I72" t="b">
        <v>1</v>
      </c>
    </row>
    <row r="73" spans="1:9" x14ac:dyDescent="0.35">
      <c r="A73" t="s">
        <v>52</v>
      </c>
      <c r="B73">
        <v>1</v>
      </c>
      <c r="C73">
        <v>206</v>
      </c>
      <c r="D73">
        <v>216</v>
      </c>
      <c r="E73">
        <v>1</v>
      </c>
      <c r="F73">
        <v>1</v>
      </c>
      <c r="G73" t="b">
        <v>1</v>
      </c>
      <c r="H73" t="b">
        <v>1</v>
      </c>
      <c r="I73" t="b">
        <v>1</v>
      </c>
    </row>
    <row r="74" spans="1:9" x14ac:dyDescent="0.35">
      <c r="A74" t="s">
        <v>56</v>
      </c>
      <c r="B74">
        <v>9</v>
      </c>
      <c r="C74">
        <v>326</v>
      </c>
      <c r="D74">
        <v>325</v>
      </c>
      <c r="E74">
        <v>8</v>
      </c>
      <c r="F74">
        <v>3</v>
      </c>
      <c r="G74" t="b">
        <v>1</v>
      </c>
      <c r="H74" t="b">
        <v>1</v>
      </c>
      <c r="I74" t="b">
        <v>1</v>
      </c>
    </row>
    <row r="75" spans="1:9" x14ac:dyDescent="0.35">
      <c r="A75" t="s">
        <v>56</v>
      </c>
      <c r="B75">
        <v>1</v>
      </c>
      <c r="C75">
        <v>209</v>
      </c>
      <c r="D75">
        <v>208</v>
      </c>
      <c r="E75">
        <v>7</v>
      </c>
      <c r="F75">
        <v>1</v>
      </c>
      <c r="G75" t="b">
        <v>1</v>
      </c>
      <c r="H75" t="b">
        <v>1</v>
      </c>
      <c r="I75" t="b">
        <v>1</v>
      </c>
    </row>
    <row r="76" spans="1:9" x14ac:dyDescent="0.35">
      <c r="A76" t="s">
        <v>44</v>
      </c>
      <c r="B76">
        <v>1</v>
      </c>
      <c r="C76">
        <v>207</v>
      </c>
      <c r="D76">
        <v>206</v>
      </c>
      <c r="E76">
        <v>5</v>
      </c>
      <c r="F76">
        <v>2</v>
      </c>
      <c r="G76" t="b">
        <v>0</v>
      </c>
      <c r="H76" t="b">
        <v>0</v>
      </c>
      <c r="I76" t="b">
        <v>1</v>
      </c>
    </row>
    <row r="77" spans="1:9" x14ac:dyDescent="0.35">
      <c r="A77" t="s">
        <v>52</v>
      </c>
      <c r="B77">
        <v>1</v>
      </c>
      <c r="C77">
        <v>206</v>
      </c>
      <c r="D77">
        <v>216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35">
      <c r="A78" t="s">
        <v>56</v>
      </c>
      <c r="B78">
        <v>1</v>
      </c>
      <c r="C78">
        <v>183</v>
      </c>
      <c r="D78">
        <v>183</v>
      </c>
      <c r="E78">
        <v>7</v>
      </c>
      <c r="F78">
        <v>1</v>
      </c>
      <c r="G78" t="b">
        <v>0</v>
      </c>
      <c r="H78" t="b">
        <v>0</v>
      </c>
      <c r="I78" t="b">
        <v>1</v>
      </c>
    </row>
    <row r="79" spans="1:9" x14ac:dyDescent="0.35">
      <c r="A79" t="s">
        <v>56</v>
      </c>
      <c r="B79">
        <v>2</v>
      </c>
      <c r="C79">
        <v>183</v>
      </c>
      <c r="D79">
        <v>183</v>
      </c>
      <c r="E79">
        <v>7</v>
      </c>
      <c r="F79">
        <v>2</v>
      </c>
      <c r="G79" t="b">
        <v>1</v>
      </c>
      <c r="H79" t="b">
        <v>1</v>
      </c>
      <c r="I79" t="b">
        <v>1</v>
      </c>
    </row>
    <row r="80" spans="1:9" x14ac:dyDescent="0.35">
      <c r="A80" t="s">
        <v>53</v>
      </c>
      <c r="B80">
        <v>2</v>
      </c>
      <c r="C80">
        <v>182</v>
      </c>
      <c r="D80">
        <v>181</v>
      </c>
      <c r="E80">
        <v>12</v>
      </c>
      <c r="F80">
        <v>1</v>
      </c>
      <c r="G80" t="b">
        <v>0</v>
      </c>
      <c r="H80" t="b">
        <v>0</v>
      </c>
      <c r="I80" t="b">
        <v>1</v>
      </c>
    </row>
    <row r="81" spans="1:9" x14ac:dyDescent="0.35">
      <c r="A81" t="s">
        <v>44</v>
      </c>
      <c r="B81">
        <v>1</v>
      </c>
      <c r="C81">
        <v>173</v>
      </c>
      <c r="D81">
        <v>173</v>
      </c>
      <c r="E81">
        <v>4</v>
      </c>
      <c r="F81">
        <v>1</v>
      </c>
      <c r="G81" t="b">
        <v>0</v>
      </c>
      <c r="H81" t="b">
        <v>0</v>
      </c>
      <c r="I81" t="b">
        <v>1</v>
      </c>
    </row>
    <row r="82" spans="1:9" x14ac:dyDescent="0.35">
      <c r="A82" t="s">
        <v>307</v>
      </c>
      <c r="B82">
        <v>2</v>
      </c>
      <c r="C82">
        <v>173</v>
      </c>
      <c r="D82">
        <v>301</v>
      </c>
      <c r="E82">
        <v>29</v>
      </c>
      <c r="F82">
        <v>1</v>
      </c>
      <c r="G82" t="b">
        <v>0</v>
      </c>
      <c r="H82" t="b">
        <v>0</v>
      </c>
      <c r="I82" t="b">
        <v>1</v>
      </c>
    </row>
    <row r="83" spans="1:9" x14ac:dyDescent="0.35">
      <c r="A83" t="s">
        <v>52</v>
      </c>
      <c r="B83">
        <v>1</v>
      </c>
      <c r="C83">
        <v>323</v>
      </c>
      <c r="D83">
        <v>333</v>
      </c>
      <c r="E83">
        <v>1</v>
      </c>
      <c r="F83">
        <v>1</v>
      </c>
      <c r="G83" t="b">
        <v>0</v>
      </c>
      <c r="H83" t="b">
        <v>0</v>
      </c>
      <c r="I83" t="b">
        <v>1</v>
      </c>
    </row>
    <row r="84" spans="1:9" x14ac:dyDescent="0.35">
      <c r="A84" t="s">
        <v>54</v>
      </c>
      <c r="B84">
        <v>2</v>
      </c>
      <c r="C84">
        <v>329</v>
      </c>
      <c r="D84">
        <v>335</v>
      </c>
      <c r="E84">
        <v>2</v>
      </c>
      <c r="F84">
        <v>1</v>
      </c>
      <c r="G84" t="b">
        <v>1</v>
      </c>
      <c r="H84" t="b">
        <v>1</v>
      </c>
      <c r="I84" t="b">
        <v>1</v>
      </c>
    </row>
    <row r="85" spans="1:9" x14ac:dyDescent="0.35">
      <c r="A85" t="s">
        <v>286</v>
      </c>
      <c r="B85">
        <v>1</v>
      </c>
      <c r="C85">
        <v>112</v>
      </c>
      <c r="D85">
        <v>250</v>
      </c>
      <c r="E85">
        <v>21</v>
      </c>
      <c r="F85">
        <v>1</v>
      </c>
      <c r="G85" t="b">
        <v>0</v>
      </c>
      <c r="H85" t="b">
        <v>0</v>
      </c>
      <c r="I85" t="b">
        <v>1</v>
      </c>
    </row>
    <row r="86" spans="1:9" x14ac:dyDescent="0.35">
      <c r="A86" t="s">
        <v>44</v>
      </c>
      <c r="B86">
        <v>1</v>
      </c>
      <c r="C86">
        <v>281</v>
      </c>
      <c r="D86">
        <v>281</v>
      </c>
      <c r="E86">
        <v>5</v>
      </c>
      <c r="F86">
        <v>2</v>
      </c>
      <c r="G86" t="b">
        <v>0</v>
      </c>
      <c r="H86" t="b">
        <v>0</v>
      </c>
      <c r="I86" t="b">
        <v>1</v>
      </c>
    </row>
    <row r="87" spans="1:9" x14ac:dyDescent="0.35">
      <c r="A87" t="s">
        <v>54</v>
      </c>
      <c r="B87">
        <v>1</v>
      </c>
      <c r="C87">
        <v>286</v>
      </c>
      <c r="D87">
        <v>292</v>
      </c>
      <c r="E87">
        <v>1</v>
      </c>
      <c r="F87">
        <v>1</v>
      </c>
      <c r="G87" t="b">
        <v>1</v>
      </c>
      <c r="H87" t="b">
        <v>1</v>
      </c>
      <c r="I87" t="b">
        <v>1</v>
      </c>
    </row>
    <row r="88" spans="1:9" x14ac:dyDescent="0.35">
      <c r="A88" t="s">
        <v>47</v>
      </c>
      <c r="B88">
        <v>2</v>
      </c>
      <c r="C88">
        <v>137</v>
      </c>
      <c r="D88">
        <v>137</v>
      </c>
      <c r="E88">
        <v>5</v>
      </c>
      <c r="F88">
        <v>1</v>
      </c>
      <c r="G88" t="b">
        <v>1</v>
      </c>
      <c r="H88" t="b">
        <v>1</v>
      </c>
      <c r="I88" t="b">
        <v>1</v>
      </c>
    </row>
    <row r="89" spans="1:9" x14ac:dyDescent="0.35">
      <c r="A89" t="s">
        <v>35</v>
      </c>
      <c r="B89">
        <v>3</v>
      </c>
      <c r="C89">
        <v>178</v>
      </c>
      <c r="D89">
        <v>177</v>
      </c>
      <c r="E89">
        <v>7</v>
      </c>
      <c r="F89">
        <v>1</v>
      </c>
      <c r="G89" t="b">
        <v>1</v>
      </c>
      <c r="H89" t="b">
        <v>1</v>
      </c>
      <c r="I89" t="b">
        <v>1</v>
      </c>
    </row>
    <row r="90" spans="1:9" x14ac:dyDescent="0.35">
      <c r="A90" t="s">
        <v>35</v>
      </c>
      <c r="B90">
        <v>3</v>
      </c>
      <c r="C90">
        <v>117</v>
      </c>
      <c r="D90">
        <v>116</v>
      </c>
      <c r="E90">
        <v>7</v>
      </c>
      <c r="F90">
        <v>2</v>
      </c>
      <c r="G90" t="b">
        <v>1</v>
      </c>
      <c r="H90" t="b">
        <v>1</v>
      </c>
      <c r="I90" t="b">
        <v>1</v>
      </c>
    </row>
    <row r="91" spans="1:9" x14ac:dyDescent="0.35">
      <c r="A91" t="s">
        <v>44</v>
      </c>
      <c r="B91">
        <v>1</v>
      </c>
      <c r="C91">
        <v>173</v>
      </c>
      <c r="D91">
        <v>173</v>
      </c>
      <c r="E91">
        <v>4</v>
      </c>
      <c r="F91">
        <v>2</v>
      </c>
      <c r="G91" t="b">
        <v>0</v>
      </c>
      <c r="H91" t="b">
        <v>0</v>
      </c>
      <c r="I91" t="b">
        <v>1</v>
      </c>
    </row>
    <row r="92" spans="1:9" x14ac:dyDescent="0.35">
      <c r="A92" t="s">
        <v>44</v>
      </c>
      <c r="B92">
        <v>1</v>
      </c>
      <c r="C92">
        <v>173</v>
      </c>
      <c r="D92">
        <v>173</v>
      </c>
      <c r="E92">
        <v>4</v>
      </c>
      <c r="F92">
        <v>2</v>
      </c>
      <c r="G92" t="b">
        <v>0</v>
      </c>
      <c r="H92" t="b">
        <v>0</v>
      </c>
      <c r="I92" t="b">
        <v>1</v>
      </c>
    </row>
    <row r="93" spans="1:9" x14ac:dyDescent="0.35">
      <c r="A93" t="s">
        <v>44</v>
      </c>
      <c r="B93">
        <v>1</v>
      </c>
      <c r="C93">
        <v>173</v>
      </c>
      <c r="D93">
        <v>173</v>
      </c>
      <c r="E93">
        <v>4</v>
      </c>
      <c r="F93">
        <v>2</v>
      </c>
      <c r="G93" t="b">
        <v>0</v>
      </c>
      <c r="H93" t="b">
        <v>0</v>
      </c>
      <c r="I93" t="b">
        <v>1</v>
      </c>
    </row>
    <row r="94" spans="1:9" x14ac:dyDescent="0.35">
      <c r="A94" t="s">
        <v>44</v>
      </c>
      <c r="B94">
        <v>1</v>
      </c>
      <c r="C94">
        <v>173</v>
      </c>
      <c r="D94">
        <v>173</v>
      </c>
      <c r="E94">
        <v>4</v>
      </c>
      <c r="F94">
        <v>1</v>
      </c>
      <c r="G94" t="b">
        <v>0</v>
      </c>
      <c r="H94" t="b">
        <v>0</v>
      </c>
      <c r="I94" t="b">
        <v>1</v>
      </c>
    </row>
    <row r="95" spans="1:9" x14ac:dyDescent="0.35">
      <c r="A95" t="s">
        <v>56</v>
      </c>
      <c r="B95">
        <v>1</v>
      </c>
      <c r="C95">
        <v>175</v>
      </c>
      <c r="D95">
        <v>175</v>
      </c>
      <c r="E95">
        <v>6</v>
      </c>
      <c r="F95">
        <v>1</v>
      </c>
      <c r="G95" t="b">
        <v>0</v>
      </c>
      <c r="H95" t="b">
        <v>0</v>
      </c>
      <c r="I95" t="b">
        <v>1</v>
      </c>
    </row>
    <row r="96" spans="1:9" x14ac:dyDescent="0.35">
      <c r="A96" t="s">
        <v>56</v>
      </c>
      <c r="B96">
        <v>1</v>
      </c>
      <c r="C96">
        <v>183</v>
      </c>
      <c r="D96">
        <v>183</v>
      </c>
      <c r="E96">
        <v>7</v>
      </c>
      <c r="F96">
        <v>1</v>
      </c>
      <c r="G96" t="b">
        <v>0</v>
      </c>
      <c r="H96" t="b">
        <v>0</v>
      </c>
      <c r="I96" t="b">
        <v>1</v>
      </c>
    </row>
    <row r="97" spans="1:9" x14ac:dyDescent="0.35">
      <c r="A97" t="s">
        <v>44</v>
      </c>
      <c r="B97">
        <v>1</v>
      </c>
      <c r="C97">
        <v>173</v>
      </c>
      <c r="D97">
        <v>173</v>
      </c>
      <c r="E97">
        <v>4</v>
      </c>
      <c r="F97">
        <v>2</v>
      </c>
      <c r="G97" t="b">
        <v>0</v>
      </c>
      <c r="H97" t="b">
        <v>0</v>
      </c>
      <c r="I97" t="b">
        <v>1</v>
      </c>
    </row>
    <row r="98" spans="1:9" x14ac:dyDescent="0.35">
      <c r="A98" t="s">
        <v>53</v>
      </c>
      <c r="B98">
        <v>2</v>
      </c>
      <c r="C98">
        <v>182</v>
      </c>
      <c r="D98">
        <v>181</v>
      </c>
      <c r="E98">
        <v>12</v>
      </c>
      <c r="F98">
        <v>1</v>
      </c>
      <c r="G98" t="b">
        <v>1</v>
      </c>
      <c r="H98" t="b">
        <v>1</v>
      </c>
      <c r="I98" t="b">
        <v>1</v>
      </c>
    </row>
    <row r="99" spans="1:9" x14ac:dyDescent="0.35">
      <c r="A99" t="s">
        <v>56</v>
      </c>
      <c r="B99">
        <v>1</v>
      </c>
      <c r="C99">
        <v>183</v>
      </c>
      <c r="D99">
        <v>183</v>
      </c>
      <c r="E99">
        <v>7</v>
      </c>
      <c r="F99">
        <v>1</v>
      </c>
      <c r="G99" t="b">
        <v>0</v>
      </c>
      <c r="H99" t="b">
        <v>0</v>
      </c>
      <c r="I99" t="b">
        <v>1</v>
      </c>
    </row>
    <row r="100" spans="1:9" x14ac:dyDescent="0.35">
      <c r="A100" t="s">
        <v>52</v>
      </c>
      <c r="B100">
        <v>1</v>
      </c>
      <c r="C100">
        <v>206</v>
      </c>
      <c r="D100">
        <v>216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35">
      <c r="A101" t="s">
        <v>288</v>
      </c>
      <c r="B101">
        <v>1</v>
      </c>
      <c r="C101">
        <v>153</v>
      </c>
      <c r="D101">
        <v>137</v>
      </c>
      <c r="E101">
        <v>20</v>
      </c>
      <c r="F101">
        <v>1</v>
      </c>
      <c r="G101" t="b">
        <v>0</v>
      </c>
      <c r="H101" t="b">
        <v>0</v>
      </c>
      <c r="I101" t="b">
        <v>1</v>
      </c>
    </row>
    <row r="102" spans="1:9" x14ac:dyDescent="0.35">
      <c r="A102" t="s">
        <v>56</v>
      </c>
      <c r="B102">
        <v>1</v>
      </c>
      <c r="C102">
        <v>326</v>
      </c>
      <c r="D102">
        <v>325</v>
      </c>
      <c r="E102">
        <v>8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35">
      <c r="A103" t="s">
        <v>56</v>
      </c>
      <c r="B103">
        <v>1</v>
      </c>
      <c r="C103">
        <v>209</v>
      </c>
      <c r="D103">
        <v>208</v>
      </c>
      <c r="E103">
        <v>7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35">
      <c r="A104" t="s">
        <v>52</v>
      </c>
      <c r="B104">
        <v>1</v>
      </c>
      <c r="C104">
        <v>206</v>
      </c>
      <c r="D104">
        <v>216</v>
      </c>
      <c r="E104">
        <v>1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35">
      <c r="A105" t="s">
        <v>288</v>
      </c>
      <c r="B105">
        <v>1</v>
      </c>
      <c r="C105">
        <v>153</v>
      </c>
      <c r="D105">
        <v>137</v>
      </c>
      <c r="E105">
        <v>20</v>
      </c>
      <c r="F105">
        <v>1</v>
      </c>
      <c r="G105" t="b">
        <v>0</v>
      </c>
      <c r="H105" t="b">
        <v>0</v>
      </c>
      <c r="I105" t="b">
        <v>1</v>
      </c>
    </row>
    <row r="106" spans="1:9" x14ac:dyDescent="0.35">
      <c r="A106" t="s">
        <v>56</v>
      </c>
      <c r="B106">
        <v>1</v>
      </c>
      <c r="C106">
        <v>183</v>
      </c>
      <c r="D106">
        <v>183</v>
      </c>
      <c r="E106">
        <v>7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35">
      <c r="A107" t="s">
        <v>56</v>
      </c>
      <c r="B107">
        <v>2</v>
      </c>
      <c r="C107">
        <v>183</v>
      </c>
      <c r="D107">
        <v>183</v>
      </c>
      <c r="E107">
        <v>7</v>
      </c>
      <c r="F107">
        <v>2</v>
      </c>
      <c r="G107" t="b">
        <v>1</v>
      </c>
      <c r="H107" t="b">
        <v>1</v>
      </c>
      <c r="I107" t="b">
        <v>1</v>
      </c>
    </row>
    <row r="108" spans="1:9" x14ac:dyDescent="0.35">
      <c r="A108" t="s">
        <v>53</v>
      </c>
      <c r="B108">
        <v>2</v>
      </c>
      <c r="C108">
        <v>182</v>
      </c>
      <c r="D108">
        <v>181</v>
      </c>
      <c r="E108">
        <v>12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35">
      <c r="A109" t="s">
        <v>44</v>
      </c>
      <c r="B109">
        <v>1</v>
      </c>
      <c r="C109">
        <v>173</v>
      </c>
      <c r="D109">
        <v>173</v>
      </c>
      <c r="E109">
        <v>4</v>
      </c>
      <c r="F109">
        <v>1</v>
      </c>
      <c r="G109" t="b">
        <v>0</v>
      </c>
      <c r="H109" t="b">
        <v>0</v>
      </c>
      <c r="I109" t="b">
        <v>1</v>
      </c>
    </row>
    <row r="110" spans="1:9" x14ac:dyDescent="0.35">
      <c r="A110" t="s">
        <v>56</v>
      </c>
      <c r="B110">
        <v>1</v>
      </c>
      <c r="C110">
        <v>326</v>
      </c>
      <c r="D110">
        <v>325</v>
      </c>
      <c r="E110">
        <v>8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35">
      <c r="A111" t="s">
        <v>52</v>
      </c>
      <c r="B111">
        <v>1</v>
      </c>
      <c r="C111">
        <v>323</v>
      </c>
      <c r="D111">
        <v>333</v>
      </c>
      <c r="E111">
        <v>1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35">
      <c r="A112" t="s">
        <v>44</v>
      </c>
      <c r="B112">
        <v>1</v>
      </c>
      <c r="C112">
        <v>324</v>
      </c>
      <c r="D112">
        <v>323</v>
      </c>
      <c r="E112">
        <v>6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35">
      <c r="A113" t="s">
        <v>52</v>
      </c>
      <c r="B113">
        <v>1</v>
      </c>
      <c r="C113">
        <v>323</v>
      </c>
      <c r="D113">
        <v>333</v>
      </c>
      <c r="E113">
        <v>1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35">
      <c r="A114" t="s">
        <v>54</v>
      </c>
      <c r="B114">
        <v>1</v>
      </c>
      <c r="C114">
        <v>286</v>
      </c>
      <c r="D114">
        <v>292</v>
      </c>
      <c r="E114">
        <v>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35">
      <c r="A115" t="s">
        <v>289</v>
      </c>
      <c r="B115">
        <v>1</v>
      </c>
      <c r="C115">
        <v>257</v>
      </c>
      <c r="D115">
        <v>210</v>
      </c>
      <c r="E115">
        <v>18</v>
      </c>
      <c r="F115">
        <v>1</v>
      </c>
      <c r="G115" t="b">
        <v>0</v>
      </c>
      <c r="H115" t="b">
        <v>0</v>
      </c>
      <c r="I115" t="b">
        <v>1</v>
      </c>
    </row>
    <row r="116" spans="1:9" x14ac:dyDescent="0.35">
      <c r="A116" t="s">
        <v>47</v>
      </c>
      <c r="B116">
        <v>2</v>
      </c>
      <c r="C116">
        <v>137</v>
      </c>
      <c r="D116">
        <v>137</v>
      </c>
      <c r="E116">
        <v>5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35">
      <c r="A117" t="s">
        <v>73</v>
      </c>
      <c r="B117">
        <v>2</v>
      </c>
      <c r="C117">
        <v>327</v>
      </c>
      <c r="D117">
        <v>326</v>
      </c>
      <c r="E117">
        <v>6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35">
      <c r="A118" t="s">
        <v>74</v>
      </c>
      <c r="B118">
        <v>4</v>
      </c>
      <c r="C118">
        <v>384</v>
      </c>
      <c r="D118">
        <v>384</v>
      </c>
      <c r="E118">
        <v>7</v>
      </c>
      <c r="F118">
        <v>2</v>
      </c>
      <c r="G118" t="b">
        <v>1</v>
      </c>
      <c r="H118" t="b">
        <v>1</v>
      </c>
      <c r="I118" t="b">
        <v>1</v>
      </c>
    </row>
    <row r="119" spans="1:9" x14ac:dyDescent="0.35">
      <c r="A119" t="s">
        <v>74</v>
      </c>
      <c r="B119">
        <v>1</v>
      </c>
      <c r="C119">
        <v>384</v>
      </c>
      <c r="D119">
        <v>384</v>
      </c>
      <c r="E119">
        <v>7</v>
      </c>
      <c r="F119">
        <v>1</v>
      </c>
      <c r="G119" t="b">
        <v>0</v>
      </c>
      <c r="H119" t="b">
        <v>0</v>
      </c>
      <c r="I119" t="b">
        <v>1</v>
      </c>
    </row>
    <row r="120" spans="1:9" x14ac:dyDescent="0.35">
      <c r="A120" t="s">
        <v>74</v>
      </c>
      <c r="B120">
        <v>1</v>
      </c>
      <c r="C120">
        <v>384</v>
      </c>
      <c r="D120">
        <v>384</v>
      </c>
      <c r="E120">
        <v>7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35">
      <c r="A121" t="s">
        <v>74</v>
      </c>
      <c r="B121">
        <v>4</v>
      </c>
      <c r="C121">
        <v>384</v>
      </c>
      <c r="D121">
        <v>384</v>
      </c>
      <c r="E121">
        <v>7</v>
      </c>
      <c r="F121">
        <v>2</v>
      </c>
      <c r="G121" t="b">
        <v>1</v>
      </c>
      <c r="H121" t="b">
        <v>1</v>
      </c>
      <c r="I121" t="b">
        <v>1</v>
      </c>
    </row>
    <row r="122" spans="1:9" x14ac:dyDescent="0.35">
      <c r="A122" t="s">
        <v>52</v>
      </c>
      <c r="B122">
        <v>3</v>
      </c>
      <c r="C122">
        <v>472</v>
      </c>
      <c r="D122">
        <v>482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35">
      <c r="A123" t="s">
        <v>74</v>
      </c>
      <c r="B123">
        <v>1</v>
      </c>
      <c r="C123">
        <v>424</v>
      </c>
      <c r="D123">
        <v>424</v>
      </c>
      <c r="E123">
        <v>8</v>
      </c>
      <c r="F123">
        <v>2</v>
      </c>
      <c r="G123" t="b">
        <v>0</v>
      </c>
      <c r="H123" t="b">
        <v>0</v>
      </c>
      <c r="I123" t="b">
        <v>1</v>
      </c>
    </row>
    <row r="124" spans="1:9" x14ac:dyDescent="0.35">
      <c r="A124" t="s">
        <v>68</v>
      </c>
      <c r="B124">
        <v>1</v>
      </c>
      <c r="C124">
        <v>425</v>
      </c>
      <c r="D124">
        <v>434</v>
      </c>
      <c r="E124">
        <v>16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35">
      <c r="A125" t="s">
        <v>54</v>
      </c>
      <c r="B125">
        <v>4</v>
      </c>
      <c r="C125">
        <v>433</v>
      </c>
      <c r="D125">
        <v>438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35">
      <c r="A126" t="s">
        <v>54</v>
      </c>
      <c r="B126">
        <v>4</v>
      </c>
      <c r="C126">
        <v>433</v>
      </c>
      <c r="D126">
        <v>438</v>
      </c>
      <c r="E126">
        <v>1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35">
      <c r="A127" t="s">
        <v>74</v>
      </c>
      <c r="B127">
        <v>1</v>
      </c>
      <c r="C127">
        <v>424</v>
      </c>
      <c r="D127">
        <v>424</v>
      </c>
      <c r="E127">
        <v>8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35">
      <c r="A128" t="s">
        <v>68</v>
      </c>
      <c r="B128">
        <v>10</v>
      </c>
      <c r="C128">
        <v>544</v>
      </c>
      <c r="D128">
        <v>553</v>
      </c>
      <c r="E128">
        <v>16</v>
      </c>
      <c r="F128">
        <v>3</v>
      </c>
      <c r="G128" t="b">
        <v>1</v>
      </c>
      <c r="H128" t="b">
        <v>1</v>
      </c>
      <c r="I128" t="b">
        <v>1</v>
      </c>
    </row>
    <row r="129" spans="1:9" x14ac:dyDescent="0.35">
      <c r="A129" t="s">
        <v>68</v>
      </c>
      <c r="B129">
        <v>10</v>
      </c>
      <c r="C129">
        <v>544</v>
      </c>
      <c r="D129">
        <v>553</v>
      </c>
      <c r="E129">
        <v>16</v>
      </c>
      <c r="F129">
        <v>3</v>
      </c>
      <c r="G129" t="b">
        <v>0</v>
      </c>
      <c r="H129" t="b">
        <v>0</v>
      </c>
      <c r="I129" t="b">
        <v>1</v>
      </c>
    </row>
    <row r="130" spans="1:9" x14ac:dyDescent="0.35">
      <c r="A130" t="s">
        <v>69</v>
      </c>
      <c r="B130">
        <v>12</v>
      </c>
      <c r="C130">
        <v>555</v>
      </c>
      <c r="D130">
        <v>557</v>
      </c>
      <c r="E130">
        <v>17</v>
      </c>
      <c r="F130">
        <v>3</v>
      </c>
      <c r="G130" t="b">
        <v>1</v>
      </c>
      <c r="H130" t="b">
        <v>1</v>
      </c>
      <c r="I130" t="b">
        <v>1</v>
      </c>
    </row>
    <row r="131" spans="1:9" x14ac:dyDescent="0.35">
      <c r="A131" t="s">
        <v>68</v>
      </c>
      <c r="B131">
        <v>1</v>
      </c>
      <c r="C131">
        <v>650</v>
      </c>
      <c r="D131">
        <v>659</v>
      </c>
      <c r="E131">
        <v>17</v>
      </c>
      <c r="F131">
        <v>1</v>
      </c>
      <c r="G131" t="b">
        <v>0</v>
      </c>
      <c r="H131" t="b">
        <v>0</v>
      </c>
      <c r="I131" t="b">
        <v>1</v>
      </c>
    </row>
    <row r="132" spans="1:9" x14ac:dyDescent="0.35">
      <c r="A132" t="s">
        <v>290</v>
      </c>
      <c r="B132">
        <v>5</v>
      </c>
      <c r="C132">
        <v>661</v>
      </c>
      <c r="D132">
        <v>655</v>
      </c>
      <c r="E132">
        <v>13</v>
      </c>
      <c r="F132">
        <v>1</v>
      </c>
      <c r="G132" t="b">
        <v>0</v>
      </c>
      <c r="H132" t="b">
        <v>0</v>
      </c>
      <c r="I132" t="b">
        <v>1</v>
      </c>
    </row>
    <row r="133" spans="1:9" x14ac:dyDescent="0.35">
      <c r="A133" t="s">
        <v>69</v>
      </c>
      <c r="B133">
        <v>3</v>
      </c>
      <c r="C133">
        <v>662</v>
      </c>
      <c r="D133">
        <v>664</v>
      </c>
      <c r="E133">
        <v>18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35">
      <c r="A134" t="s">
        <v>68</v>
      </c>
      <c r="B134">
        <v>1</v>
      </c>
      <c r="C134">
        <v>544</v>
      </c>
      <c r="D134">
        <v>553</v>
      </c>
      <c r="E134">
        <v>16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35">
      <c r="A135" t="s">
        <v>74</v>
      </c>
      <c r="B135">
        <v>1</v>
      </c>
      <c r="C135">
        <v>543</v>
      </c>
      <c r="D135">
        <v>543</v>
      </c>
      <c r="E135">
        <v>8</v>
      </c>
      <c r="F135">
        <v>1</v>
      </c>
      <c r="G135" t="b">
        <v>0</v>
      </c>
      <c r="H135" t="b">
        <v>0</v>
      </c>
      <c r="I135" t="b">
        <v>1</v>
      </c>
    </row>
    <row r="136" spans="1:9" x14ac:dyDescent="0.35">
      <c r="A136" t="s">
        <v>68</v>
      </c>
      <c r="B136">
        <v>1</v>
      </c>
      <c r="C136">
        <v>544</v>
      </c>
      <c r="D136">
        <v>553</v>
      </c>
      <c r="E136">
        <v>16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35">
      <c r="A137" t="s">
        <v>320</v>
      </c>
      <c r="B137">
        <v>1</v>
      </c>
      <c r="C137">
        <v>58</v>
      </c>
      <c r="D137">
        <v>11</v>
      </c>
      <c r="E137">
        <v>455</v>
      </c>
      <c r="F137">
        <v>100021</v>
      </c>
      <c r="G137" t="b">
        <v>0</v>
      </c>
      <c r="H137" t="b">
        <v>0</v>
      </c>
      <c r="I137" t="b">
        <v>1</v>
      </c>
    </row>
    <row r="138" spans="1:9" x14ac:dyDescent="0.35">
      <c r="A138" t="s">
        <v>54</v>
      </c>
      <c r="B138">
        <v>4</v>
      </c>
      <c r="C138">
        <v>552</v>
      </c>
      <c r="D138">
        <v>557</v>
      </c>
      <c r="E138">
        <v>1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35">
      <c r="A139" t="s">
        <v>76</v>
      </c>
      <c r="B139">
        <v>8</v>
      </c>
      <c r="C139">
        <v>559</v>
      </c>
      <c r="D139">
        <v>559</v>
      </c>
      <c r="E139">
        <v>14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35">
      <c r="A140" t="s">
        <v>73</v>
      </c>
      <c r="B140">
        <v>9</v>
      </c>
      <c r="C140">
        <v>387</v>
      </c>
      <c r="D140">
        <v>386</v>
      </c>
      <c r="E140">
        <v>6</v>
      </c>
      <c r="F140">
        <v>3</v>
      </c>
      <c r="G140" t="b">
        <v>1</v>
      </c>
      <c r="H140" t="b">
        <v>1</v>
      </c>
      <c r="I140" t="b">
        <v>1</v>
      </c>
    </row>
    <row r="141" spans="1:9" x14ac:dyDescent="0.35">
      <c r="A141" t="s">
        <v>320</v>
      </c>
      <c r="B141">
        <v>1</v>
      </c>
      <c r="C141">
        <v>40</v>
      </c>
      <c r="D141">
        <v>11</v>
      </c>
      <c r="E141">
        <v>295</v>
      </c>
      <c r="F141">
        <v>100021</v>
      </c>
      <c r="G141" t="b">
        <v>0</v>
      </c>
      <c r="H141" t="b">
        <v>0</v>
      </c>
      <c r="I141" t="b">
        <v>1</v>
      </c>
    </row>
    <row r="142" spans="1:9" x14ac:dyDescent="0.35">
      <c r="A142" t="s">
        <v>73</v>
      </c>
      <c r="B142">
        <v>10</v>
      </c>
      <c r="C142">
        <v>476</v>
      </c>
      <c r="D142">
        <v>474</v>
      </c>
      <c r="E142">
        <v>7</v>
      </c>
      <c r="F142">
        <v>3</v>
      </c>
      <c r="G142" t="b">
        <v>1</v>
      </c>
      <c r="H142" t="b">
        <v>1</v>
      </c>
      <c r="I142" t="b">
        <v>1</v>
      </c>
    </row>
    <row r="143" spans="1:9" x14ac:dyDescent="0.35">
      <c r="A143" t="s">
        <v>320</v>
      </c>
      <c r="B143">
        <v>1</v>
      </c>
      <c r="C143">
        <v>48</v>
      </c>
      <c r="D143">
        <v>13</v>
      </c>
      <c r="E143">
        <v>384</v>
      </c>
      <c r="F143">
        <v>100021</v>
      </c>
      <c r="G143" t="b">
        <v>0</v>
      </c>
      <c r="H143" t="b">
        <v>0</v>
      </c>
      <c r="I143" t="b">
        <v>1</v>
      </c>
    </row>
    <row r="144" spans="1:9" x14ac:dyDescent="0.35">
      <c r="A144" t="s">
        <v>68</v>
      </c>
      <c r="B144">
        <v>1</v>
      </c>
      <c r="C144">
        <v>474</v>
      </c>
      <c r="D144">
        <v>483</v>
      </c>
      <c r="E144">
        <v>16</v>
      </c>
      <c r="F144">
        <v>1</v>
      </c>
      <c r="G144" t="b">
        <v>0</v>
      </c>
      <c r="H144" t="b">
        <v>0</v>
      </c>
      <c r="I144" t="b">
        <v>1</v>
      </c>
    </row>
    <row r="145" spans="1:9" x14ac:dyDescent="0.35">
      <c r="A145" t="s">
        <v>66</v>
      </c>
      <c r="B145">
        <v>2</v>
      </c>
      <c r="C145">
        <v>477</v>
      </c>
      <c r="D145">
        <v>484</v>
      </c>
      <c r="E145">
        <v>11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35">
      <c r="A146" t="s">
        <v>66</v>
      </c>
      <c r="B146">
        <v>2</v>
      </c>
      <c r="C146">
        <v>653</v>
      </c>
      <c r="D146">
        <v>660</v>
      </c>
      <c r="E146">
        <v>12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35">
      <c r="A147" t="s">
        <v>68</v>
      </c>
      <c r="B147">
        <v>1</v>
      </c>
      <c r="C147">
        <v>650</v>
      </c>
      <c r="D147">
        <v>659</v>
      </c>
      <c r="E147">
        <v>17</v>
      </c>
      <c r="F147">
        <v>1</v>
      </c>
      <c r="G147" t="b">
        <v>0</v>
      </c>
      <c r="H147" t="b">
        <v>0</v>
      </c>
      <c r="I147" t="b">
        <v>1</v>
      </c>
    </row>
    <row r="148" spans="1:9" x14ac:dyDescent="0.35">
      <c r="A148" t="s">
        <v>290</v>
      </c>
      <c r="B148">
        <v>5</v>
      </c>
      <c r="C148">
        <v>661</v>
      </c>
      <c r="D148">
        <v>655</v>
      </c>
      <c r="E148">
        <v>13</v>
      </c>
      <c r="F148">
        <v>1</v>
      </c>
      <c r="G148" t="b">
        <v>0</v>
      </c>
      <c r="H148" t="b">
        <v>0</v>
      </c>
      <c r="I148" t="b">
        <v>1</v>
      </c>
    </row>
    <row r="149" spans="1:9" x14ac:dyDescent="0.35">
      <c r="A149" t="s">
        <v>69</v>
      </c>
      <c r="B149">
        <v>3</v>
      </c>
      <c r="C149">
        <v>662</v>
      </c>
      <c r="D149">
        <v>664</v>
      </c>
      <c r="E149">
        <v>18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35">
      <c r="A150" t="s">
        <v>69</v>
      </c>
      <c r="B150">
        <v>3</v>
      </c>
      <c r="C150">
        <v>556</v>
      </c>
      <c r="D150">
        <v>558</v>
      </c>
      <c r="E150">
        <v>17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35">
      <c r="A151" t="s">
        <v>78</v>
      </c>
      <c r="B151">
        <v>5</v>
      </c>
      <c r="C151">
        <v>680</v>
      </c>
      <c r="D151">
        <v>680</v>
      </c>
      <c r="E151">
        <v>2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35">
      <c r="A152" t="s">
        <v>284</v>
      </c>
      <c r="B152">
        <v>6</v>
      </c>
      <c r="C152">
        <v>681</v>
      </c>
      <c r="D152">
        <v>681</v>
      </c>
      <c r="E152">
        <v>3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35">
      <c r="A153" t="s">
        <v>54</v>
      </c>
      <c r="B153">
        <v>4</v>
      </c>
      <c r="C153">
        <v>671</v>
      </c>
      <c r="D153">
        <v>676</v>
      </c>
      <c r="E153">
        <v>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35">
      <c r="A154" t="s">
        <v>35</v>
      </c>
      <c r="B154">
        <v>15</v>
      </c>
      <c r="C154">
        <v>252</v>
      </c>
      <c r="D154">
        <v>248</v>
      </c>
      <c r="E154">
        <v>8</v>
      </c>
      <c r="F154">
        <v>100021</v>
      </c>
      <c r="G154" t="b">
        <v>1</v>
      </c>
      <c r="H154" t="b">
        <v>1</v>
      </c>
      <c r="I154" t="b">
        <v>1</v>
      </c>
    </row>
    <row r="155" spans="1:9" x14ac:dyDescent="0.35">
      <c r="A155" t="s">
        <v>66</v>
      </c>
      <c r="B155">
        <v>2</v>
      </c>
      <c r="C155">
        <v>1008</v>
      </c>
      <c r="D155">
        <v>1015</v>
      </c>
      <c r="E155">
        <v>18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35">
      <c r="A156" t="s">
        <v>66</v>
      </c>
      <c r="B156">
        <v>2</v>
      </c>
      <c r="C156">
        <v>1008</v>
      </c>
      <c r="D156">
        <v>1015</v>
      </c>
      <c r="E156">
        <v>18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35">
      <c r="A157" t="s">
        <v>54</v>
      </c>
      <c r="B157">
        <v>5</v>
      </c>
      <c r="C157">
        <v>530</v>
      </c>
      <c r="D157">
        <v>535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35">
      <c r="A158" t="s">
        <v>68</v>
      </c>
      <c r="B158">
        <v>1</v>
      </c>
      <c r="C158">
        <v>1005</v>
      </c>
      <c r="D158">
        <v>1014</v>
      </c>
      <c r="E158">
        <v>23</v>
      </c>
      <c r="F158">
        <v>1</v>
      </c>
      <c r="G158" t="b">
        <v>0</v>
      </c>
      <c r="H158" t="b">
        <v>0</v>
      </c>
      <c r="I158" t="b">
        <v>1</v>
      </c>
    </row>
    <row r="159" spans="1:9" x14ac:dyDescent="0.35">
      <c r="A159" t="s">
        <v>68</v>
      </c>
      <c r="B159">
        <v>1</v>
      </c>
      <c r="C159">
        <v>1005</v>
      </c>
      <c r="D159">
        <v>1014</v>
      </c>
      <c r="E159">
        <v>23</v>
      </c>
      <c r="F159">
        <v>1</v>
      </c>
      <c r="G159" t="b">
        <v>0</v>
      </c>
      <c r="H159" t="b">
        <v>0</v>
      </c>
      <c r="I159" t="b">
        <v>1</v>
      </c>
    </row>
    <row r="160" spans="1:9" x14ac:dyDescent="0.35">
      <c r="A160" t="s">
        <v>73</v>
      </c>
      <c r="B160">
        <v>2</v>
      </c>
      <c r="C160">
        <v>327</v>
      </c>
      <c r="D160">
        <v>326</v>
      </c>
      <c r="E160">
        <v>6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35">
      <c r="A161" t="s">
        <v>51</v>
      </c>
      <c r="B161">
        <v>9</v>
      </c>
      <c r="C161">
        <v>398</v>
      </c>
      <c r="D161">
        <v>393</v>
      </c>
      <c r="E161">
        <v>12</v>
      </c>
      <c r="F161">
        <v>2</v>
      </c>
      <c r="G161" t="b">
        <v>1</v>
      </c>
      <c r="H161" t="b">
        <v>1</v>
      </c>
      <c r="I161" t="b">
        <v>1</v>
      </c>
    </row>
    <row r="162" spans="1:9" x14ac:dyDescent="0.35">
      <c r="A162" t="s">
        <v>68</v>
      </c>
      <c r="B162">
        <v>1</v>
      </c>
      <c r="C162">
        <v>544</v>
      </c>
      <c r="D162">
        <v>553</v>
      </c>
      <c r="E162">
        <v>16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35">
      <c r="A163" t="s">
        <v>65</v>
      </c>
      <c r="B163">
        <v>7</v>
      </c>
      <c r="C163">
        <v>394</v>
      </c>
      <c r="D163">
        <v>390</v>
      </c>
      <c r="E163">
        <v>17</v>
      </c>
      <c r="F163">
        <v>2</v>
      </c>
      <c r="G163" t="b">
        <v>1</v>
      </c>
      <c r="H163" t="b">
        <v>1</v>
      </c>
      <c r="I163" t="b">
        <v>1</v>
      </c>
    </row>
    <row r="164" spans="1:9" x14ac:dyDescent="0.35">
      <c r="A164" t="s">
        <v>68</v>
      </c>
      <c r="B164">
        <v>1</v>
      </c>
      <c r="C164">
        <v>544</v>
      </c>
      <c r="D164">
        <v>553</v>
      </c>
      <c r="E164">
        <v>16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35">
      <c r="A165" t="s">
        <v>52</v>
      </c>
      <c r="B165">
        <v>3</v>
      </c>
      <c r="C165">
        <v>472</v>
      </c>
      <c r="D165">
        <v>482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35">
      <c r="A166" t="s">
        <v>74</v>
      </c>
      <c r="B166">
        <v>1</v>
      </c>
      <c r="C166">
        <v>424</v>
      </c>
      <c r="D166">
        <v>424</v>
      </c>
      <c r="E166">
        <v>8</v>
      </c>
      <c r="F166">
        <v>2</v>
      </c>
      <c r="G166" t="b">
        <v>0</v>
      </c>
      <c r="H166" t="b">
        <v>0</v>
      </c>
      <c r="I166" t="b">
        <v>1</v>
      </c>
    </row>
    <row r="167" spans="1:9" x14ac:dyDescent="0.35">
      <c r="A167" t="s">
        <v>68</v>
      </c>
      <c r="B167">
        <v>1</v>
      </c>
      <c r="C167">
        <v>425</v>
      </c>
      <c r="D167">
        <v>434</v>
      </c>
      <c r="E167">
        <v>16</v>
      </c>
      <c r="F167">
        <v>1</v>
      </c>
      <c r="G167" t="b">
        <v>0</v>
      </c>
      <c r="H167" t="b">
        <v>0</v>
      </c>
      <c r="I167" t="b">
        <v>1</v>
      </c>
    </row>
    <row r="168" spans="1:9" x14ac:dyDescent="0.35">
      <c r="A168" t="s">
        <v>51</v>
      </c>
      <c r="B168">
        <v>9</v>
      </c>
      <c r="C168">
        <v>398</v>
      </c>
      <c r="D168">
        <v>393</v>
      </c>
      <c r="E168">
        <v>12</v>
      </c>
      <c r="F168">
        <v>2</v>
      </c>
      <c r="G168" t="b">
        <v>1</v>
      </c>
      <c r="H168" t="b">
        <v>1</v>
      </c>
      <c r="I168" t="b">
        <v>1</v>
      </c>
    </row>
    <row r="169" spans="1:9" x14ac:dyDescent="0.35">
      <c r="A169" t="s">
        <v>68</v>
      </c>
      <c r="B169">
        <v>1</v>
      </c>
      <c r="C169">
        <v>544</v>
      </c>
      <c r="D169">
        <v>553</v>
      </c>
      <c r="E169">
        <v>16</v>
      </c>
      <c r="F169">
        <v>1</v>
      </c>
      <c r="G169" t="b">
        <v>0</v>
      </c>
      <c r="H169" t="b">
        <v>0</v>
      </c>
      <c r="I169" t="b">
        <v>1</v>
      </c>
    </row>
    <row r="170" spans="1:9" x14ac:dyDescent="0.35">
      <c r="A170" t="s">
        <v>308</v>
      </c>
      <c r="B170">
        <v>1</v>
      </c>
      <c r="C170">
        <v>307</v>
      </c>
      <c r="D170">
        <v>460</v>
      </c>
      <c r="E170">
        <v>33</v>
      </c>
      <c r="F170">
        <v>1</v>
      </c>
      <c r="G170" t="b">
        <v>0</v>
      </c>
      <c r="H170" t="b">
        <v>0</v>
      </c>
      <c r="I170" t="b">
        <v>1</v>
      </c>
    </row>
    <row r="171" spans="1:9" x14ac:dyDescent="0.35">
      <c r="A171" t="s">
        <v>68</v>
      </c>
      <c r="B171">
        <v>1</v>
      </c>
      <c r="C171">
        <v>544</v>
      </c>
      <c r="D171">
        <v>553</v>
      </c>
      <c r="E171">
        <v>16</v>
      </c>
      <c r="F171">
        <v>1</v>
      </c>
      <c r="G171" t="b">
        <v>0</v>
      </c>
      <c r="H171" t="b">
        <v>0</v>
      </c>
      <c r="I171" t="b">
        <v>1</v>
      </c>
    </row>
    <row r="172" spans="1:9" x14ac:dyDescent="0.35">
      <c r="A172" t="s">
        <v>69</v>
      </c>
      <c r="B172">
        <v>3</v>
      </c>
      <c r="C172">
        <v>556</v>
      </c>
      <c r="D172">
        <v>558</v>
      </c>
      <c r="E172">
        <v>17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35">
      <c r="A173" t="s">
        <v>74</v>
      </c>
      <c r="B173">
        <v>1</v>
      </c>
      <c r="C173">
        <v>543</v>
      </c>
      <c r="D173">
        <v>543</v>
      </c>
      <c r="E173">
        <v>8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35">
      <c r="A174" t="s">
        <v>68</v>
      </c>
      <c r="B174">
        <v>1</v>
      </c>
      <c r="C174">
        <v>544</v>
      </c>
      <c r="D174">
        <v>553</v>
      </c>
      <c r="E174">
        <v>16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35">
      <c r="A175" t="s">
        <v>68</v>
      </c>
      <c r="B175">
        <v>5</v>
      </c>
      <c r="C175">
        <v>544</v>
      </c>
      <c r="D175">
        <v>553</v>
      </c>
      <c r="E175">
        <v>16</v>
      </c>
      <c r="F175">
        <v>2</v>
      </c>
      <c r="G175" t="b">
        <v>0</v>
      </c>
      <c r="H175" t="b">
        <v>0</v>
      </c>
      <c r="I175" t="b">
        <v>1</v>
      </c>
    </row>
    <row r="176" spans="1:9" x14ac:dyDescent="0.35">
      <c r="A176" t="s">
        <v>309</v>
      </c>
      <c r="B176">
        <v>2</v>
      </c>
      <c r="C176">
        <v>286</v>
      </c>
      <c r="D176">
        <v>519</v>
      </c>
      <c r="E176">
        <v>42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35">
      <c r="A177" t="s">
        <v>68</v>
      </c>
      <c r="B177">
        <v>1</v>
      </c>
      <c r="C177">
        <v>785</v>
      </c>
      <c r="D177">
        <v>794</v>
      </c>
      <c r="E177">
        <v>19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35">
      <c r="A178" t="s">
        <v>309</v>
      </c>
      <c r="B178">
        <v>2</v>
      </c>
      <c r="C178">
        <v>286</v>
      </c>
      <c r="D178">
        <v>519</v>
      </c>
      <c r="E178">
        <v>42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35">
      <c r="A179" t="s">
        <v>68</v>
      </c>
      <c r="B179">
        <v>1</v>
      </c>
      <c r="C179">
        <v>785</v>
      </c>
      <c r="D179">
        <v>794</v>
      </c>
      <c r="E179">
        <v>19</v>
      </c>
      <c r="F179">
        <v>1</v>
      </c>
      <c r="G179" t="b">
        <v>0</v>
      </c>
      <c r="H179" t="b">
        <v>0</v>
      </c>
      <c r="I179" t="b">
        <v>1</v>
      </c>
    </row>
    <row r="180" spans="1:9" x14ac:dyDescent="0.35">
      <c r="A180" t="s">
        <v>309</v>
      </c>
      <c r="B180">
        <v>2</v>
      </c>
      <c r="C180">
        <v>286</v>
      </c>
      <c r="D180">
        <v>519</v>
      </c>
      <c r="E180">
        <v>42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35">
      <c r="A181" t="s">
        <v>68</v>
      </c>
      <c r="B181">
        <v>1</v>
      </c>
      <c r="C181">
        <v>785</v>
      </c>
      <c r="D181">
        <v>794</v>
      </c>
      <c r="E181">
        <v>19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35">
      <c r="A182" t="s">
        <v>309</v>
      </c>
      <c r="B182">
        <v>2</v>
      </c>
      <c r="C182">
        <v>286</v>
      </c>
      <c r="D182">
        <v>519</v>
      </c>
      <c r="E182">
        <v>42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35">
      <c r="A183" t="s">
        <v>68</v>
      </c>
      <c r="B183">
        <v>1</v>
      </c>
      <c r="C183">
        <v>785</v>
      </c>
      <c r="D183">
        <v>794</v>
      </c>
      <c r="E183">
        <v>19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35">
      <c r="A184" t="s">
        <v>308</v>
      </c>
      <c r="B184">
        <v>1</v>
      </c>
      <c r="C184">
        <v>307</v>
      </c>
      <c r="D184">
        <v>460</v>
      </c>
      <c r="E184">
        <v>33</v>
      </c>
      <c r="F184">
        <v>1</v>
      </c>
      <c r="G184" t="b">
        <v>0</v>
      </c>
      <c r="H184" t="b">
        <v>0</v>
      </c>
      <c r="I184" t="b">
        <v>1</v>
      </c>
    </row>
    <row r="185" spans="1:9" x14ac:dyDescent="0.35">
      <c r="A185" t="s">
        <v>68</v>
      </c>
      <c r="B185">
        <v>1</v>
      </c>
      <c r="C185">
        <v>544</v>
      </c>
      <c r="D185">
        <v>553</v>
      </c>
      <c r="E185">
        <v>16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35">
      <c r="A186" t="s">
        <v>308</v>
      </c>
      <c r="B186">
        <v>1</v>
      </c>
      <c r="C186">
        <v>307</v>
      </c>
      <c r="D186">
        <v>460</v>
      </c>
      <c r="E186">
        <v>33</v>
      </c>
      <c r="F186">
        <v>1</v>
      </c>
      <c r="G186" t="b">
        <v>0</v>
      </c>
      <c r="H186" t="b">
        <v>0</v>
      </c>
      <c r="I186" t="b">
        <v>1</v>
      </c>
    </row>
    <row r="187" spans="1:9" x14ac:dyDescent="0.35">
      <c r="A187" t="s">
        <v>68</v>
      </c>
      <c r="B187">
        <v>1</v>
      </c>
      <c r="C187">
        <v>544</v>
      </c>
      <c r="D187">
        <v>553</v>
      </c>
      <c r="E187">
        <v>16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35">
      <c r="A188" t="s">
        <v>54</v>
      </c>
      <c r="B188">
        <v>4</v>
      </c>
      <c r="C188">
        <v>552</v>
      </c>
      <c r="D188">
        <v>557</v>
      </c>
      <c r="E188">
        <v>1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35">
      <c r="A189" t="s">
        <v>308</v>
      </c>
      <c r="B189">
        <v>1</v>
      </c>
      <c r="C189">
        <v>307</v>
      </c>
      <c r="D189">
        <v>460</v>
      </c>
      <c r="E189">
        <v>33</v>
      </c>
      <c r="F189">
        <v>2</v>
      </c>
      <c r="G189" t="b">
        <v>0</v>
      </c>
      <c r="H189" t="b">
        <v>0</v>
      </c>
      <c r="I189" t="b">
        <v>1</v>
      </c>
    </row>
    <row r="190" spans="1:9" x14ac:dyDescent="0.35">
      <c r="A190" t="s">
        <v>68</v>
      </c>
      <c r="B190">
        <v>1</v>
      </c>
      <c r="C190">
        <v>544</v>
      </c>
      <c r="D190">
        <v>553</v>
      </c>
      <c r="E190">
        <v>16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35">
      <c r="A191" t="s">
        <v>68</v>
      </c>
      <c r="B191">
        <v>5</v>
      </c>
      <c r="C191">
        <v>544</v>
      </c>
      <c r="D191">
        <v>553</v>
      </c>
      <c r="E191">
        <v>16</v>
      </c>
      <c r="F191">
        <v>2</v>
      </c>
      <c r="G191" t="b">
        <v>0</v>
      </c>
      <c r="H191" t="b">
        <v>0</v>
      </c>
      <c r="I191" t="b">
        <v>1</v>
      </c>
    </row>
    <row r="192" spans="1:9" x14ac:dyDescent="0.35">
      <c r="A192" t="s">
        <v>291</v>
      </c>
      <c r="B192">
        <v>1</v>
      </c>
      <c r="C192">
        <v>186</v>
      </c>
      <c r="D192">
        <v>350</v>
      </c>
      <c r="E192">
        <v>20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35">
      <c r="A193" t="s">
        <v>66</v>
      </c>
      <c r="B193">
        <v>2</v>
      </c>
      <c r="C193">
        <v>477</v>
      </c>
      <c r="D193">
        <v>484</v>
      </c>
      <c r="E193">
        <v>11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35">
      <c r="A194" t="s">
        <v>74</v>
      </c>
      <c r="B194">
        <v>3</v>
      </c>
      <c r="C194">
        <v>473</v>
      </c>
      <c r="D194">
        <v>472</v>
      </c>
      <c r="E194">
        <v>8</v>
      </c>
      <c r="F194">
        <v>2</v>
      </c>
      <c r="G194" t="b">
        <v>0</v>
      </c>
      <c r="H194" t="b">
        <v>0</v>
      </c>
      <c r="I194" t="b">
        <v>1</v>
      </c>
    </row>
    <row r="195" spans="1:9" x14ac:dyDescent="0.35">
      <c r="A195" t="s">
        <v>73</v>
      </c>
      <c r="B195">
        <v>10</v>
      </c>
      <c r="C195">
        <v>476</v>
      </c>
      <c r="D195">
        <v>474</v>
      </c>
      <c r="E195">
        <v>7</v>
      </c>
      <c r="F195">
        <v>3</v>
      </c>
      <c r="G195" t="b">
        <v>1</v>
      </c>
      <c r="H195" t="b">
        <v>1</v>
      </c>
      <c r="I195" t="b">
        <v>1</v>
      </c>
    </row>
    <row r="196" spans="1:9" x14ac:dyDescent="0.35">
      <c r="A196" t="s">
        <v>320</v>
      </c>
      <c r="B196">
        <v>1</v>
      </c>
      <c r="C196">
        <v>48</v>
      </c>
      <c r="D196">
        <v>13</v>
      </c>
      <c r="E196">
        <v>384</v>
      </c>
      <c r="F196">
        <v>100021</v>
      </c>
      <c r="G196" t="b">
        <v>0</v>
      </c>
      <c r="H196" t="b">
        <v>0</v>
      </c>
      <c r="I196" t="b">
        <v>1</v>
      </c>
    </row>
    <row r="197" spans="1:9" x14ac:dyDescent="0.35">
      <c r="A197" t="s">
        <v>52</v>
      </c>
      <c r="B197">
        <v>3</v>
      </c>
      <c r="C197">
        <v>472</v>
      </c>
      <c r="D197">
        <v>482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35">
      <c r="A198" t="s">
        <v>291</v>
      </c>
      <c r="B198">
        <v>1</v>
      </c>
      <c r="C198">
        <v>186</v>
      </c>
      <c r="D198">
        <v>350</v>
      </c>
      <c r="E198">
        <v>20</v>
      </c>
      <c r="F198">
        <v>1</v>
      </c>
      <c r="G198" t="b">
        <v>0</v>
      </c>
      <c r="H198" t="b">
        <v>0</v>
      </c>
      <c r="I198" t="b">
        <v>1</v>
      </c>
    </row>
    <row r="199" spans="1:9" x14ac:dyDescent="0.35">
      <c r="A199" t="s">
        <v>66</v>
      </c>
      <c r="B199">
        <v>2</v>
      </c>
      <c r="C199">
        <v>477</v>
      </c>
      <c r="D199">
        <v>484</v>
      </c>
      <c r="E199">
        <v>11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35">
      <c r="A200" t="s">
        <v>66</v>
      </c>
      <c r="B200">
        <v>2</v>
      </c>
      <c r="C200">
        <v>653</v>
      </c>
      <c r="D200">
        <v>660</v>
      </c>
      <c r="E200">
        <v>12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35">
      <c r="A201" t="s">
        <v>68</v>
      </c>
      <c r="B201">
        <v>1</v>
      </c>
      <c r="C201">
        <v>650</v>
      </c>
      <c r="D201">
        <v>659</v>
      </c>
      <c r="E201">
        <v>17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35">
      <c r="A202" t="s">
        <v>290</v>
      </c>
      <c r="B202">
        <v>5</v>
      </c>
      <c r="C202">
        <v>661</v>
      </c>
      <c r="D202">
        <v>655</v>
      </c>
      <c r="E202">
        <v>13</v>
      </c>
      <c r="F202">
        <v>1</v>
      </c>
      <c r="G202" t="b">
        <v>0</v>
      </c>
      <c r="H202" t="b">
        <v>0</v>
      </c>
      <c r="I202" t="b">
        <v>1</v>
      </c>
    </row>
    <row r="203" spans="1:9" x14ac:dyDescent="0.35">
      <c r="A203" t="s">
        <v>69</v>
      </c>
      <c r="B203">
        <v>3</v>
      </c>
      <c r="C203">
        <v>662</v>
      </c>
      <c r="D203">
        <v>664</v>
      </c>
      <c r="E203">
        <v>18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35">
      <c r="A204" t="s">
        <v>69</v>
      </c>
      <c r="B204">
        <v>3</v>
      </c>
      <c r="C204">
        <v>556</v>
      </c>
      <c r="D204">
        <v>558</v>
      </c>
      <c r="E204">
        <v>17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35">
      <c r="A205" t="s">
        <v>78</v>
      </c>
      <c r="B205">
        <v>5</v>
      </c>
      <c r="C205">
        <v>680</v>
      </c>
      <c r="D205">
        <v>680</v>
      </c>
      <c r="E205">
        <v>2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35">
      <c r="A206" t="s">
        <v>284</v>
      </c>
      <c r="B206">
        <v>6</v>
      </c>
      <c r="C206">
        <v>681</v>
      </c>
      <c r="D206">
        <v>681</v>
      </c>
      <c r="E206">
        <v>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35">
      <c r="A207" t="s">
        <v>54</v>
      </c>
      <c r="B207">
        <v>4</v>
      </c>
      <c r="C207">
        <v>671</v>
      </c>
      <c r="D207">
        <v>676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35">
      <c r="A208" t="s">
        <v>35</v>
      </c>
      <c r="B208">
        <v>15</v>
      </c>
      <c r="C208">
        <v>252</v>
      </c>
      <c r="D208">
        <v>248</v>
      </c>
      <c r="E208">
        <v>8</v>
      </c>
      <c r="F208">
        <v>100021</v>
      </c>
      <c r="G208" t="b">
        <v>1</v>
      </c>
      <c r="H208" t="b">
        <v>1</v>
      </c>
      <c r="I208" t="b">
        <v>1</v>
      </c>
    </row>
    <row r="209" spans="1:9" x14ac:dyDescent="0.35">
      <c r="A209" t="s">
        <v>68</v>
      </c>
      <c r="B209">
        <v>1</v>
      </c>
      <c r="C209">
        <v>1005</v>
      </c>
      <c r="D209">
        <v>1014</v>
      </c>
      <c r="E209">
        <v>23</v>
      </c>
      <c r="F209">
        <v>1</v>
      </c>
      <c r="G209" t="b">
        <v>0</v>
      </c>
      <c r="H209" t="b">
        <v>0</v>
      </c>
      <c r="I209" t="b">
        <v>1</v>
      </c>
    </row>
    <row r="210" spans="1:9" x14ac:dyDescent="0.35">
      <c r="A210" t="s">
        <v>66</v>
      </c>
      <c r="B210">
        <v>2</v>
      </c>
      <c r="C210">
        <v>1008</v>
      </c>
      <c r="D210">
        <v>1015</v>
      </c>
      <c r="E210">
        <v>18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35">
      <c r="A211" t="s">
        <v>66</v>
      </c>
      <c r="B211">
        <v>2</v>
      </c>
      <c r="C211">
        <v>1008</v>
      </c>
      <c r="D211">
        <v>1015</v>
      </c>
      <c r="E211">
        <v>18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35">
      <c r="A212" t="s">
        <v>321</v>
      </c>
      <c r="B212">
        <v>188</v>
      </c>
      <c r="C212">
        <v>382</v>
      </c>
      <c r="D212">
        <v>656</v>
      </c>
      <c r="E212">
        <v>984</v>
      </c>
      <c r="F212">
        <v>100021</v>
      </c>
      <c r="G212" t="b">
        <v>0</v>
      </c>
      <c r="H212" t="b">
        <v>0</v>
      </c>
      <c r="I212" t="b">
        <v>1</v>
      </c>
    </row>
    <row r="213" spans="1:9" x14ac:dyDescent="0.35">
      <c r="A213" t="s">
        <v>69</v>
      </c>
      <c r="B213">
        <v>3</v>
      </c>
      <c r="C213">
        <v>485</v>
      </c>
      <c r="D213">
        <v>487</v>
      </c>
      <c r="E213">
        <v>17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35">
      <c r="A214" t="s">
        <v>54</v>
      </c>
      <c r="B214">
        <v>5</v>
      </c>
      <c r="C214">
        <v>530</v>
      </c>
      <c r="D214">
        <v>535</v>
      </c>
      <c r="E214">
        <v>2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35">
      <c r="A215" t="s">
        <v>68</v>
      </c>
      <c r="B215">
        <v>1</v>
      </c>
      <c r="C215">
        <v>1005</v>
      </c>
      <c r="D215">
        <v>1014</v>
      </c>
      <c r="E215">
        <v>23</v>
      </c>
      <c r="F215">
        <v>1</v>
      </c>
      <c r="G215" t="b">
        <v>0</v>
      </c>
      <c r="H215" t="b">
        <v>0</v>
      </c>
      <c r="I215" t="b">
        <v>1</v>
      </c>
    </row>
    <row r="216" spans="1:9" x14ac:dyDescent="0.35">
      <c r="A216" t="s">
        <v>218</v>
      </c>
      <c r="B216">
        <v>1</v>
      </c>
      <c r="C216">
        <v>82</v>
      </c>
      <c r="D216">
        <v>86</v>
      </c>
      <c r="E216">
        <v>13</v>
      </c>
      <c r="F216">
        <v>2</v>
      </c>
      <c r="G216" t="b">
        <v>0</v>
      </c>
      <c r="H216" t="b">
        <v>0</v>
      </c>
      <c r="I216" t="b">
        <v>1</v>
      </c>
    </row>
    <row r="217" spans="1:9" x14ac:dyDescent="0.35">
      <c r="A217" t="s">
        <v>292</v>
      </c>
      <c r="B217">
        <v>1</v>
      </c>
      <c r="C217">
        <v>87</v>
      </c>
      <c r="D217">
        <v>100</v>
      </c>
      <c r="E217">
        <v>14</v>
      </c>
      <c r="F217">
        <v>1</v>
      </c>
      <c r="G217" t="b">
        <v>0</v>
      </c>
      <c r="H217" t="b">
        <v>0</v>
      </c>
      <c r="I217" t="b">
        <v>1</v>
      </c>
    </row>
    <row r="218" spans="1:9" x14ac:dyDescent="0.35">
      <c r="A218" t="s">
        <v>218</v>
      </c>
      <c r="B218">
        <v>1</v>
      </c>
      <c r="C218">
        <v>138</v>
      </c>
      <c r="D218">
        <v>142</v>
      </c>
      <c r="E218">
        <v>9</v>
      </c>
      <c r="F218">
        <v>1</v>
      </c>
      <c r="G218" t="b">
        <v>0</v>
      </c>
      <c r="H218" t="b">
        <v>0</v>
      </c>
      <c r="I218" t="b">
        <v>1</v>
      </c>
    </row>
    <row r="219" spans="1:9" x14ac:dyDescent="0.35">
      <c r="A219" t="s">
        <v>92</v>
      </c>
      <c r="B219">
        <v>2</v>
      </c>
      <c r="C219">
        <v>97</v>
      </c>
      <c r="D219">
        <v>97</v>
      </c>
      <c r="E219">
        <v>11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35">
      <c r="A220" t="s">
        <v>292</v>
      </c>
      <c r="B220">
        <v>1</v>
      </c>
      <c r="C220">
        <v>133</v>
      </c>
      <c r="D220">
        <v>152</v>
      </c>
      <c r="E220">
        <v>20</v>
      </c>
      <c r="F220">
        <v>1</v>
      </c>
      <c r="G220" t="b">
        <v>0</v>
      </c>
      <c r="H220" t="b">
        <v>0</v>
      </c>
      <c r="I220" t="b">
        <v>1</v>
      </c>
    </row>
    <row r="221" spans="1:9" x14ac:dyDescent="0.35">
      <c r="A221" t="s">
        <v>218</v>
      </c>
      <c r="B221">
        <v>1</v>
      </c>
      <c r="C221">
        <v>241</v>
      </c>
      <c r="D221">
        <v>245</v>
      </c>
      <c r="E221">
        <v>10</v>
      </c>
      <c r="F221">
        <v>1</v>
      </c>
      <c r="G221" t="b">
        <v>0</v>
      </c>
      <c r="H221" t="b">
        <v>0</v>
      </c>
      <c r="I221" t="b">
        <v>1</v>
      </c>
    </row>
    <row r="222" spans="1:9" x14ac:dyDescent="0.35">
      <c r="A222" t="s">
        <v>92</v>
      </c>
      <c r="B222">
        <v>1</v>
      </c>
      <c r="C222">
        <v>96</v>
      </c>
      <c r="D222">
        <v>96</v>
      </c>
      <c r="E222">
        <v>11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35">
      <c r="A223" t="s">
        <v>97</v>
      </c>
      <c r="B223">
        <v>4</v>
      </c>
      <c r="C223">
        <v>223</v>
      </c>
      <c r="D223">
        <v>224</v>
      </c>
      <c r="E223">
        <v>14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35">
      <c r="A224" t="s">
        <v>275</v>
      </c>
      <c r="B224">
        <v>1</v>
      </c>
      <c r="C224">
        <v>211</v>
      </c>
      <c r="D224">
        <v>211</v>
      </c>
      <c r="E224">
        <v>2</v>
      </c>
      <c r="F224">
        <v>1</v>
      </c>
      <c r="G224" t="b">
        <v>0</v>
      </c>
      <c r="H224" t="b">
        <v>0</v>
      </c>
      <c r="I224" t="b">
        <v>1</v>
      </c>
    </row>
    <row r="225" spans="1:9" x14ac:dyDescent="0.35">
      <c r="A225" t="s">
        <v>100</v>
      </c>
      <c r="B225">
        <v>1</v>
      </c>
      <c r="C225">
        <v>212</v>
      </c>
      <c r="D225">
        <v>218</v>
      </c>
      <c r="E225">
        <v>4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35">
      <c r="A226" t="s">
        <v>99</v>
      </c>
      <c r="B226">
        <v>3</v>
      </c>
      <c r="C226">
        <v>167</v>
      </c>
      <c r="D226">
        <v>164</v>
      </c>
      <c r="E226">
        <v>9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35">
      <c r="A227" t="s">
        <v>101</v>
      </c>
      <c r="B227">
        <v>4</v>
      </c>
      <c r="C227">
        <v>218</v>
      </c>
      <c r="D227">
        <v>221</v>
      </c>
      <c r="E227">
        <v>12</v>
      </c>
      <c r="F227">
        <v>2</v>
      </c>
      <c r="G227" t="b">
        <v>1</v>
      </c>
      <c r="H227" t="b">
        <v>1</v>
      </c>
      <c r="I227" t="b">
        <v>1</v>
      </c>
    </row>
    <row r="228" spans="1:9" x14ac:dyDescent="0.35">
      <c r="A228" t="s">
        <v>275</v>
      </c>
      <c r="B228">
        <v>1</v>
      </c>
      <c r="C228">
        <v>211</v>
      </c>
      <c r="D228">
        <v>211</v>
      </c>
      <c r="E228">
        <v>2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35">
      <c r="A229" t="s">
        <v>98</v>
      </c>
      <c r="B229">
        <v>2</v>
      </c>
      <c r="C229">
        <v>216</v>
      </c>
      <c r="D229">
        <v>220</v>
      </c>
      <c r="E229">
        <v>13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35">
      <c r="A230" t="s">
        <v>101</v>
      </c>
      <c r="B230">
        <v>3</v>
      </c>
      <c r="C230">
        <v>413</v>
      </c>
      <c r="D230">
        <v>416</v>
      </c>
      <c r="E230">
        <v>18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35">
      <c r="A231" t="s">
        <v>100</v>
      </c>
      <c r="B231">
        <v>1</v>
      </c>
      <c r="C231">
        <v>407</v>
      </c>
      <c r="D231">
        <v>413</v>
      </c>
      <c r="E231">
        <v>6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35">
      <c r="A232" t="s">
        <v>100</v>
      </c>
      <c r="B232">
        <v>1</v>
      </c>
      <c r="C232">
        <v>407</v>
      </c>
      <c r="D232">
        <v>413</v>
      </c>
      <c r="E232">
        <v>6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35">
      <c r="A233" t="s">
        <v>100</v>
      </c>
      <c r="B233">
        <v>1</v>
      </c>
      <c r="C233">
        <v>407</v>
      </c>
      <c r="D233">
        <v>413</v>
      </c>
      <c r="E233">
        <v>6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35">
      <c r="A234" t="s">
        <v>97</v>
      </c>
      <c r="B234">
        <v>4</v>
      </c>
      <c r="C234">
        <v>223</v>
      </c>
      <c r="D234">
        <v>224</v>
      </c>
      <c r="E234">
        <v>14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35">
      <c r="A235" t="s">
        <v>310</v>
      </c>
      <c r="B235">
        <v>1</v>
      </c>
      <c r="C235">
        <v>217</v>
      </c>
      <c r="D235">
        <v>273</v>
      </c>
      <c r="E235">
        <v>50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35">
      <c r="A236" t="s">
        <v>100</v>
      </c>
      <c r="B236">
        <v>1</v>
      </c>
      <c r="C236">
        <v>407</v>
      </c>
      <c r="D236">
        <v>413</v>
      </c>
      <c r="E236">
        <v>6</v>
      </c>
      <c r="F236">
        <v>1</v>
      </c>
      <c r="G236" t="b">
        <v>0</v>
      </c>
      <c r="H236" t="b">
        <v>0</v>
      </c>
      <c r="I236" t="b">
        <v>1</v>
      </c>
    </row>
    <row r="237" spans="1:9" x14ac:dyDescent="0.35">
      <c r="A237" t="s">
        <v>97</v>
      </c>
      <c r="B237">
        <v>4</v>
      </c>
      <c r="C237">
        <v>223</v>
      </c>
      <c r="D237">
        <v>224</v>
      </c>
      <c r="E237">
        <v>14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35">
      <c r="A238" t="s">
        <v>98</v>
      </c>
      <c r="B238">
        <v>2</v>
      </c>
      <c r="C238">
        <v>411</v>
      </c>
      <c r="D238">
        <v>415</v>
      </c>
      <c r="E238">
        <v>21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35">
      <c r="A239" t="s">
        <v>98</v>
      </c>
      <c r="B239">
        <v>5</v>
      </c>
      <c r="C239">
        <v>411</v>
      </c>
      <c r="D239">
        <v>415</v>
      </c>
      <c r="E239">
        <v>21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35">
      <c r="A240" t="s">
        <v>99</v>
      </c>
      <c r="B240">
        <v>2</v>
      </c>
      <c r="C240">
        <v>255</v>
      </c>
      <c r="D240">
        <v>252</v>
      </c>
      <c r="E240">
        <v>9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35">
      <c r="A241" t="s">
        <v>104</v>
      </c>
      <c r="B241">
        <v>1</v>
      </c>
      <c r="C241">
        <v>358</v>
      </c>
      <c r="D241">
        <v>361</v>
      </c>
      <c r="E241">
        <v>6</v>
      </c>
      <c r="F241">
        <v>1</v>
      </c>
      <c r="G241" t="b">
        <v>0</v>
      </c>
      <c r="H241" t="b">
        <v>0</v>
      </c>
      <c r="I241" t="b">
        <v>1</v>
      </c>
    </row>
    <row r="242" spans="1:9" x14ac:dyDescent="0.35">
      <c r="A242" t="s">
        <v>104</v>
      </c>
      <c r="B242">
        <v>1</v>
      </c>
      <c r="C242">
        <v>358</v>
      </c>
      <c r="D242">
        <v>361</v>
      </c>
      <c r="E242">
        <v>6</v>
      </c>
      <c r="F242">
        <v>2</v>
      </c>
      <c r="G242" t="b">
        <v>0</v>
      </c>
      <c r="H242" t="b">
        <v>0</v>
      </c>
      <c r="I242" t="b">
        <v>1</v>
      </c>
    </row>
    <row r="243" spans="1:9" x14ac:dyDescent="0.35">
      <c r="A243" t="s">
        <v>104</v>
      </c>
      <c r="B243">
        <v>1</v>
      </c>
      <c r="C243">
        <v>487</v>
      </c>
      <c r="D243">
        <v>490</v>
      </c>
      <c r="E243">
        <v>7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35">
      <c r="A244" t="s">
        <v>104</v>
      </c>
      <c r="B244">
        <v>1</v>
      </c>
      <c r="C244">
        <v>691</v>
      </c>
      <c r="D244">
        <v>694</v>
      </c>
      <c r="E244">
        <v>8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35">
      <c r="A245" t="s">
        <v>104</v>
      </c>
      <c r="B245">
        <v>1</v>
      </c>
      <c r="C245">
        <v>691</v>
      </c>
      <c r="D245">
        <v>694</v>
      </c>
      <c r="E245">
        <v>8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35">
      <c r="A246" t="s">
        <v>104</v>
      </c>
      <c r="B246">
        <v>1</v>
      </c>
      <c r="C246">
        <v>487</v>
      </c>
      <c r="D246">
        <v>490</v>
      </c>
      <c r="E246">
        <v>7</v>
      </c>
      <c r="F246">
        <v>1</v>
      </c>
      <c r="G246" t="b">
        <v>0</v>
      </c>
      <c r="H246" t="b">
        <v>0</v>
      </c>
      <c r="I246" t="b">
        <v>1</v>
      </c>
    </row>
    <row r="247" spans="1:9" x14ac:dyDescent="0.35">
      <c r="A247" t="s">
        <v>104</v>
      </c>
      <c r="B247">
        <v>1</v>
      </c>
      <c r="C247">
        <v>487</v>
      </c>
      <c r="D247">
        <v>490</v>
      </c>
      <c r="E247">
        <v>7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35">
      <c r="A248" t="s">
        <v>104</v>
      </c>
      <c r="B248">
        <v>1</v>
      </c>
      <c r="C248">
        <v>487</v>
      </c>
      <c r="D248">
        <v>490</v>
      </c>
      <c r="E248">
        <v>7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35">
      <c r="A249" t="s">
        <v>104</v>
      </c>
      <c r="B249">
        <v>2</v>
      </c>
      <c r="C249">
        <v>487</v>
      </c>
      <c r="D249">
        <v>490</v>
      </c>
      <c r="E249">
        <v>7</v>
      </c>
      <c r="F249">
        <v>2</v>
      </c>
      <c r="G249" t="b">
        <v>1</v>
      </c>
      <c r="H249" t="b">
        <v>1</v>
      </c>
      <c r="I249" t="b">
        <v>1</v>
      </c>
    </row>
    <row r="250" spans="1:9" x14ac:dyDescent="0.35">
      <c r="A250" t="s">
        <v>111</v>
      </c>
      <c r="B250">
        <v>1</v>
      </c>
      <c r="C250">
        <v>171</v>
      </c>
      <c r="D250">
        <v>173</v>
      </c>
      <c r="E250">
        <v>7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35">
      <c r="A251" t="s">
        <v>111</v>
      </c>
      <c r="B251">
        <v>1</v>
      </c>
      <c r="C251">
        <v>171</v>
      </c>
      <c r="D251">
        <v>173</v>
      </c>
      <c r="E251">
        <v>7</v>
      </c>
      <c r="F251">
        <v>1</v>
      </c>
      <c r="G251" t="b">
        <v>0</v>
      </c>
      <c r="H251" t="b">
        <v>0</v>
      </c>
      <c r="I251" t="b">
        <v>1</v>
      </c>
    </row>
    <row r="252" spans="1:9" x14ac:dyDescent="0.35">
      <c r="A252" t="s">
        <v>276</v>
      </c>
      <c r="B252">
        <v>1</v>
      </c>
      <c r="C252">
        <v>168</v>
      </c>
      <c r="D252">
        <v>168</v>
      </c>
      <c r="E252">
        <v>1</v>
      </c>
      <c r="F252">
        <v>2</v>
      </c>
      <c r="G252" t="b">
        <v>0</v>
      </c>
      <c r="H252" t="b">
        <v>0</v>
      </c>
      <c r="I252" t="b">
        <v>1</v>
      </c>
    </row>
    <row r="253" spans="1:9" x14ac:dyDescent="0.35">
      <c r="A253" t="s">
        <v>117</v>
      </c>
      <c r="B253">
        <v>2</v>
      </c>
      <c r="C253">
        <v>173</v>
      </c>
      <c r="D253">
        <v>174</v>
      </c>
      <c r="E253">
        <v>4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35">
      <c r="A254" t="s">
        <v>111</v>
      </c>
      <c r="B254">
        <v>1</v>
      </c>
      <c r="C254">
        <v>171</v>
      </c>
      <c r="D254">
        <v>173</v>
      </c>
      <c r="E254">
        <v>7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35">
      <c r="A255" t="s">
        <v>276</v>
      </c>
      <c r="B255">
        <v>1</v>
      </c>
      <c r="C255">
        <v>168</v>
      </c>
      <c r="D255">
        <v>168</v>
      </c>
      <c r="E255">
        <v>1</v>
      </c>
      <c r="F255">
        <v>2</v>
      </c>
      <c r="G255" t="b">
        <v>0</v>
      </c>
      <c r="H255" t="b">
        <v>0</v>
      </c>
      <c r="I255" t="b">
        <v>1</v>
      </c>
    </row>
    <row r="256" spans="1:9" x14ac:dyDescent="0.35">
      <c r="A256" t="s">
        <v>111</v>
      </c>
      <c r="B256">
        <v>13</v>
      </c>
      <c r="C256">
        <v>171</v>
      </c>
      <c r="D256">
        <v>173</v>
      </c>
      <c r="E256">
        <v>7</v>
      </c>
      <c r="F256">
        <v>100021</v>
      </c>
      <c r="G256" t="b">
        <v>1</v>
      </c>
      <c r="H256" t="b">
        <v>1</v>
      </c>
      <c r="I256" t="b">
        <v>1</v>
      </c>
    </row>
    <row r="257" spans="1:9" x14ac:dyDescent="0.35">
      <c r="A257" t="s">
        <v>111</v>
      </c>
      <c r="B257">
        <v>1</v>
      </c>
      <c r="C257">
        <v>171</v>
      </c>
      <c r="D257">
        <v>173</v>
      </c>
      <c r="E257">
        <v>7</v>
      </c>
      <c r="F257">
        <v>2</v>
      </c>
      <c r="G257" t="b">
        <v>0</v>
      </c>
      <c r="H257" t="b">
        <v>0</v>
      </c>
      <c r="I257" t="b">
        <v>1</v>
      </c>
    </row>
    <row r="258" spans="1:9" x14ac:dyDescent="0.35">
      <c r="A258" t="s">
        <v>137</v>
      </c>
      <c r="B258">
        <v>3</v>
      </c>
      <c r="C258">
        <v>248</v>
      </c>
      <c r="D258">
        <v>245</v>
      </c>
      <c r="E258">
        <v>7</v>
      </c>
      <c r="F258">
        <v>2</v>
      </c>
      <c r="G258" t="b">
        <v>0</v>
      </c>
      <c r="H258" t="b">
        <v>0</v>
      </c>
      <c r="I258" t="b">
        <v>1</v>
      </c>
    </row>
    <row r="259" spans="1:9" x14ac:dyDescent="0.35">
      <c r="A259" t="s">
        <v>322</v>
      </c>
      <c r="B259">
        <v>27</v>
      </c>
      <c r="C259">
        <v>129</v>
      </c>
      <c r="D259">
        <v>142</v>
      </c>
      <c r="E259">
        <v>22</v>
      </c>
      <c r="F259">
        <v>100021</v>
      </c>
      <c r="G259" t="b">
        <v>0</v>
      </c>
      <c r="H259" t="b">
        <v>0</v>
      </c>
      <c r="I259" t="b">
        <v>1</v>
      </c>
    </row>
    <row r="260" spans="1:9" x14ac:dyDescent="0.35">
      <c r="A260" t="s">
        <v>293</v>
      </c>
      <c r="B260">
        <v>7</v>
      </c>
      <c r="C260">
        <v>67</v>
      </c>
      <c r="D260">
        <v>67</v>
      </c>
      <c r="E260">
        <v>29</v>
      </c>
      <c r="F260">
        <v>4</v>
      </c>
      <c r="G260" t="b">
        <v>0</v>
      </c>
      <c r="H260" t="b">
        <v>0</v>
      </c>
      <c r="I260" t="b">
        <v>1</v>
      </c>
    </row>
    <row r="261" spans="1:9" x14ac:dyDescent="0.35">
      <c r="A261" t="s">
        <v>117</v>
      </c>
      <c r="B261">
        <v>2</v>
      </c>
      <c r="C261">
        <v>249</v>
      </c>
      <c r="D261">
        <v>250</v>
      </c>
      <c r="E261">
        <v>5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35">
      <c r="A262" t="s">
        <v>137</v>
      </c>
      <c r="B262">
        <v>14</v>
      </c>
      <c r="C262">
        <v>248</v>
      </c>
      <c r="D262">
        <v>245</v>
      </c>
      <c r="E262">
        <v>7</v>
      </c>
      <c r="F262">
        <v>100021</v>
      </c>
      <c r="G262" t="b">
        <v>0</v>
      </c>
      <c r="H262" t="b">
        <v>0</v>
      </c>
      <c r="I262" t="b">
        <v>1</v>
      </c>
    </row>
    <row r="263" spans="1:9" x14ac:dyDescent="0.35">
      <c r="A263" t="s">
        <v>293</v>
      </c>
      <c r="B263">
        <v>15</v>
      </c>
      <c r="C263">
        <v>67</v>
      </c>
      <c r="D263">
        <v>67</v>
      </c>
      <c r="E263">
        <v>29</v>
      </c>
      <c r="F263">
        <v>10</v>
      </c>
      <c r="G263" t="b">
        <v>0</v>
      </c>
      <c r="H263" t="b">
        <v>0</v>
      </c>
      <c r="I263" t="b">
        <v>1</v>
      </c>
    </row>
    <row r="264" spans="1:9" x14ac:dyDescent="0.35">
      <c r="A264" t="s">
        <v>123</v>
      </c>
      <c r="B264">
        <v>4</v>
      </c>
      <c r="C264">
        <v>179</v>
      </c>
      <c r="D264">
        <v>184</v>
      </c>
      <c r="E264">
        <v>18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35">
      <c r="A265" t="s">
        <v>122</v>
      </c>
      <c r="B265">
        <v>2</v>
      </c>
      <c r="C265">
        <v>175</v>
      </c>
      <c r="D265">
        <v>181</v>
      </c>
      <c r="E265">
        <v>17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35">
      <c r="A266" t="s">
        <v>124</v>
      </c>
      <c r="B266">
        <v>3</v>
      </c>
      <c r="C266">
        <v>163</v>
      </c>
      <c r="D266">
        <v>169</v>
      </c>
      <c r="E266">
        <v>21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35">
      <c r="A267" t="s">
        <v>119</v>
      </c>
      <c r="B267">
        <v>1</v>
      </c>
      <c r="C267">
        <v>160</v>
      </c>
      <c r="D267">
        <v>167</v>
      </c>
      <c r="E267">
        <v>13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35">
      <c r="A268" t="s">
        <v>119</v>
      </c>
      <c r="B268">
        <v>1</v>
      </c>
      <c r="C268">
        <v>160</v>
      </c>
      <c r="D268">
        <v>167</v>
      </c>
      <c r="E268">
        <v>13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35">
      <c r="A269" t="s">
        <v>35</v>
      </c>
      <c r="B269">
        <v>3</v>
      </c>
      <c r="C269">
        <v>131</v>
      </c>
      <c r="D269">
        <v>126</v>
      </c>
      <c r="E269">
        <v>5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35">
      <c r="A270" t="s">
        <v>35</v>
      </c>
      <c r="B270">
        <v>3</v>
      </c>
      <c r="C270">
        <v>131</v>
      </c>
      <c r="D270">
        <v>126</v>
      </c>
      <c r="E270">
        <v>5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35">
      <c r="A271" t="s">
        <v>294</v>
      </c>
      <c r="B271">
        <v>1</v>
      </c>
      <c r="C271">
        <v>43</v>
      </c>
      <c r="D271">
        <v>43</v>
      </c>
      <c r="E271">
        <v>21</v>
      </c>
      <c r="F271">
        <v>1</v>
      </c>
      <c r="G271" t="b">
        <v>0</v>
      </c>
      <c r="H271" t="b">
        <v>0</v>
      </c>
      <c r="I271" t="b">
        <v>1</v>
      </c>
    </row>
    <row r="272" spans="1:9" x14ac:dyDescent="0.35">
      <c r="A272" t="s">
        <v>295</v>
      </c>
      <c r="B272">
        <v>1</v>
      </c>
      <c r="C272">
        <v>69</v>
      </c>
      <c r="D272">
        <v>78</v>
      </c>
      <c r="E272">
        <v>12</v>
      </c>
      <c r="F272">
        <v>1</v>
      </c>
      <c r="G272" t="b">
        <v>0</v>
      </c>
      <c r="H272" t="b">
        <v>0</v>
      </c>
      <c r="I272" t="b">
        <v>1</v>
      </c>
    </row>
    <row r="273" spans="1:9" x14ac:dyDescent="0.35">
      <c r="A273" t="s">
        <v>220</v>
      </c>
      <c r="B273">
        <v>1</v>
      </c>
      <c r="C273">
        <v>85</v>
      </c>
      <c r="D273">
        <v>88</v>
      </c>
      <c r="E273">
        <v>3</v>
      </c>
      <c r="F273">
        <v>1</v>
      </c>
      <c r="G273" t="b">
        <v>0</v>
      </c>
      <c r="H273" t="b">
        <v>0</v>
      </c>
      <c r="I273" t="b">
        <v>1</v>
      </c>
    </row>
    <row r="274" spans="1:9" x14ac:dyDescent="0.35">
      <c r="A274" t="s">
        <v>129</v>
      </c>
      <c r="B274">
        <v>1</v>
      </c>
      <c r="C274">
        <v>46</v>
      </c>
      <c r="D274">
        <v>45</v>
      </c>
      <c r="E274">
        <v>16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35">
      <c r="A275" t="s">
        <v>294</v>
      </c>
      <c r="B275">
        <v>1</v>
      </c>
      <c r="C275">
        <v>43</v>
      </c>
      <c r="D275">
        <v>43</v>
      </c>
      <c r="E275">
        <v>21</v>
      </c>
      <c r="F275">
        <v>1</v>
      </c>
      <c r="G275" t="b">
        <v>0</v>
      </c>
      <c r="H275" t="b">
        <v>0</v>
      </c>
      <c r="I275" t="b">
        <v>1</v>
      </c>
    </row>
    <row r="276" spans="1:9" x14ac:dyDescent="0.35">
      <c r="A276" t="s">
        <v>220</v>
      </c>
      <c r="B276">
        <v>1</v>
      </c>
      <c r="C276">
        <v>85</v>
      </c>
      <c r="D276">
        <v>88</v>
      </c>
      <c r="E276">
        <v>3</v>
      </c>
      <c r="F276">
        <v>1</v>
      </c>
      <c r="G276" t="b">
        <v>0</v>
      </c>
      <c r="H276" t="b">
        <v>0</v>
      </c>
      <c r="I276" t="b">
        <v>1</v>
      </c>
    </row>
    <row r="277" spans="1:9" x14ac:dyDescent="0.35">
      <c r="A277" t="s">
        <v>220</v>
      </c>
      <c r="B277">
        <v>1</v>
      </c>
      <c r="C277">
        <v>85</v>
      </c>
      <c r="D277">
        <v>88</v>
      </c>
      <c r="E277">
        <v>3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35">
      <c r="A278" t="s">
        <v>132</v>
      </c>
      <c r="B278">
        <v>2</v>
      </c>
      <c r="C278">
        <v>330</v>
      </c>
      <c r="D278">
        <v>331</v>
      </c>
      <c r="E278">
        <v>9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35">
      <c r="A279" t="s">
        <v>296</v>
      </c>
      <c r="B279">
        <v>4</v>
      </c>
      <c r="C279">
        <v>160</v>
      </c>
      <c r="D279">
        <v>183</v>
      </c>
      <c r="E279">
        <v>18</v>
      </c>
      <c r="F279">
        <v>2</v>
      </c>
      <c r="G279" t="b">
        <v>0</v>
      </c>
      <c r="H279" t="b">
        <v>0</v>
      </c>
      <c r="I279" t="b">
        <v>1</v>
      </c>
    </row>
    <row r="280" spans="1:9" x14ac:dyDescent="0.35">
      <c r="A280" t="s">
        <v>133</v>
      </c>
      <c r="B280">
        <v>1</v>
      </c>
      <c r="C280">
        <v>329</v>
      </c>
      <c r="D280">
        <v>330</v>
      </c>
      <c r="E280">
        <v>8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35">
      <c r="A281" t="s">
        <v>296</v>
      </c>
      <c r="B281">
        <v>1</v>
      </c>
      <c r="C281">
        <v>226</v>
      </c>
      <c r="D281">
        <v>257</v>
      </c>
      <c r="E281">
        <v>28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35">
      <c r="A282" t="s">
        <v>133</v>
      </c>
      <c r="B282">
        <v>1</v>
      </c>
      <c r="C282">
        <v>493</v>
      </c>
      <c r="D282">
        <v>494</v>
      </c>
      <c r="E282">
        <v>13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35">
      <c r="A283" t="s">
        <v>296</v>
      </c>
      <c r="B283">
        <v>1</v>
      </c>
      <c r="C283">
        <v>226</v>
      </c>
      <c r="D283">
        <v>257</v>
      </c>
      <c r="E283">
        <v>28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35">
      <c r="A284" t="s">
        <v>133</v>
      </c>
      <c r="B284">
        <v>1</v>
      </c>
      <c r="C284">
        <v>493</v>
      </c>
      <c r="D284">
        <v>494</v>
      </c>
      <c r="E284">
        <v>13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35">
      <c r="A285" t="s">
        <v>132</v>
      </c>
      <c r="B285">
        <v>2</v>
      </c>
      <c r="C285">
        <v>494</v>
      </c>
      <c r="D285">
        <v>495</v>
      </c>
      <c r="E285">
        <v>14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35">
      <c r="A286" t="s">
        <v>132</v>
      </c>
      <c r="B286">
        <v>2</v>
      </c>
      <c r="C286">
        <v>494</v>
      </c>
      <c r="D286">
        <v>495</v>
      </c>
      <c r="E286">
        <v>14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35">
      <c r="A287" t="s">
        <v>132</v>
      </c>
      <c r="B287">
        <v>2</v>
      </c>
      <c r="C287">
        <v>494</v>
      </c>
      <c r="D287">
        <v>495</v>
      </c>
      <c r="E287">
        <v>14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35">
      <c r="A288" t="s">
        <v>133</v>
      </c>
      <c r="B288">
        <v>1</v>
      </c>
      <c r="C288">
        <v>493</v>
      </c>
      <c r="D288">
        <v>494</v>
      </c>
      <c r="E288">
        <v>13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35">
      <c r="A289" t="s">
        <v>132</v>
      </c>
      <c r="B289">
        <v>3</v>
      </c>
      <c r="C289">
        <v>330</v>
      </c>
      <c r="D289">
        <v>331</v>
      </c>
      <c r="E289">
        <v>9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35">
      <c r="A290" t="s">
        <v>133</v>
      </c>
      <c r="B290">
        <v>1</v>
      </c>
      <c r="C290">
        <v>329</v>
      </c>
      <c r="D290">
        <v>330</v>
      </c>
      <c r="E290">
        <v>8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35">
      <c r="A291" t="s">
        <v>136</v>
      </c>
      <c r="B291">
        <v>2</v>
      </c>
      <c r="C291">
        <v>229</v>
      </c>
      <c r="D291">
        <v>229</v>
      </c>
      <c r="E291">
        <v>120</v>
      </c>
      <c r="F291">
        <v>2</v>
      </c>
      <c r="G291" t="b">
        <v>1</v>
      </c>
      <c r="H291" t="b">
        <v>1</v>
      </c>
      <c r="I291" t="b">
        <v>1</v>
      </c>
    </row>
    <row r="292" spans="1:9" x14ac:dyDescent="0.35">
      <c r="A292" t="s">
        <v>133</v>
      </c>
      <c r="B292">
        <v>1</v>
      </c>
      <c r="C292">
        <v>493</v>
      </c>
      <c r="D292">
        <v>494</v>
      </c>
      <c r="E292">
        <v>13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35">
      <c r="A293" t="s">
        <v>133</v>
      </c>
      <c r="B293">
        <v>1</v>
      </c>
      <c r="C293">
        <v>493</v>
      </c>
      <c r="D293">
        <v>494</v>
      </c>
      <c r="E293">
        <v>13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35">
      <c r="A294" t="s">
        <v>132</v>
      </c>
      <c r="B294">
        <v>2</v>
      </c>
      <c r="C294">
        <v>233</v>
      </c>
      <c r="D294">
        <v>234</v>
      </c>
      <c r="E294">
        <v>119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35">
      <c r="A295" t="s">
        <v>35</v>
      </c>
      <c r="B295">
        <v>3</v>
      </c>
      <c r="C295">
        <v>231</v>
      </c>
      <c r="D295">
        <v>230</v>
      </c>
      <c r="E295">
        <v>116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35">
      <c r="A296" t="s">
        <v>140</v>
      </c>
      <c r="B296">
        <v>1</v>
      </c>
      <c r="C296">
        <v>108</v>
      </c>
      <c r="D296">
        <v>108</v>
      </c>
      <c r="E296">
        <v>9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35">
      <c r="A297" t="s">
        <v>137</v>
      </c>
      <c r="B297">
        <v>3</v>
      </c>
      <c r="C297">
        <v>9</v>
      </c>
      <c r="D297">
        <v>8</v>
      </c>
      <c r="E297">
        <v>8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35">
      <c r="A298" t="s">
        <v>140</v>
      </c>
      <c r="B298">
        <v>4</v>
      </c>
      <c r="C298">
        <v>58</v>
      </c>
      <c r="D298">
        <v>58</v>
      </c>
      <c r="E298">
        <v>8</v>
      </c>
      <c r="F298">
        <v>3</v>
      </c>
      <c r="G298" t="b">
        <v>1</v>
      </c>
      <c r="H298" t="b">
        <v>1</v>
      </c>
      <c r="I298" t="b">
        <v>1</v>
      </c>
    </row>
    <row r="299" spans="1:9" x14ac:dyDescent="0.35">
      <c r="A299" t="s">
        <v>311</v>
      </c>
      <c r="B299">
        <v>2</v>
      </c>
      <c r="C299">
        <v>101</v>
      </c>
      <c r="D299">
        <v>100</v>
      </c>
      <c r="E299">
        <v>7</v>
      </c>
      <c r="F299">
        <v>2</v>
      </c>
      <c r="G299" t="b">
        <v>0</v>
      </c>
      <c r="H299" t="b">
        <v>0</v>
      </c>
      <c r="I299" t="b">
        <v>1</v>
      </c>
    </row>
    <row r="300" spans="1:9" x14ac:dyDescent="0.35">
      <c r="A300" t="s">
        <v>312</v>
      </c>
      <c r="B300">
        <v>2</v>
      </c>
      <c r="C300">
        <v>58</v>
      </c>
      <c r="D300">
        <v>68</v>
      </c>
      <c r="E300">
        <v>17</v>
      </c>
      <c r="F300">
        <v>2</v>
      </c>
      <c r="G300" t="b">
        <v>0</v>
      </c>
      <c r="H300" t="b">
        <v>0</v>
      </c>
      <c r="I300" t="b">
        <v>1</v>
      </c>
    </row>
    <row r="301" spans="1:9" x14ac:dyDescent="0.35">
      <c r="A301" t="s">
        <v>137</v>
      </c>
      <c r="B301">
        <v>6</v>
      </c>
      <c r="C301">
        <v>214</v>
      </c>
      <c r="D301">
        <v>211</v>
      </c>
      <c r="E301">
        <v>8</v>
      </c>
      <c r="F301">
        <v>3</v>
      </c>
      <c r="G301" t="b">
        <v>1</v>
      </c>
      <c r="H301" t="b">
        <v>1</v>
      </c>
      <c r="I301" t="b">
        <v>1</v>
      </c>
    </row>
    <row r="302" spans="1:9" x14ac:dyDescent="0.35">
      <c r="A302" t="s">
        <v>313</v>
      </c>
      <c r="B302">
        <v>2</v>
      </c>
      <c r="C302">
        <v>113</v>
      </c>
      <c r="D302">
        <v>131</v>
      </c>
      <c r="E302">
        <v>25</v>
      </c>
      <c r="F302">
        <v>2</v>
      </c>
      <c r="G302" t="b">
        <v>0</v>
      </c>
      <c r="H302" t="b">
        <v>0</v>
      </c>
      <c r="I302" t="b">
        <v>1</v>
      </c>
    </row>
    <row r="303" spans="1:9" x14ac:dyDescent="0.35">
      <c r="A303" t="s">
        <v>223</v>
      </c>
      <c r="B303">
        <v>1</v>
      </c>
      <c r="C303">
        <v>212</v>
      </c>
      <c r="D303">
        <v>214</v>
      </c>
      <c r="E303">
        <v>1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35">
      <c r="A304" t="s">
        <v>137</v>
      </c>
      <c r="B304">
        <v>4</v>
      </c>
      <c r="C304">
        <v>47</v>
      </c>
      <c r="D304">
        <v>46</v>
      </c>
      <c r="E304">
        <v>36</v>
      </c>
      <c r="F304">
        <v>3</v>
      </c>
      <c r="G304" t="b">
        <v>1</v>
      </c>
      <c r="H304" t="b">
        <v>1</v>
      </c>
      <c r="I304" t="b">
        <v>1</v>
      </c>
    </row>
    <row r="305" spans="1:9" x14ac:dyDescent="0.35">
      <c r="A305" t="s">
        <v>140</v>
      </c>
      <c r="B305">
        <v>4</v>
      </c>
      <c r="C305">
        <v>58</v>
      </c>
      <c r="D305">
        <v>58</v>
      </c>
      <c r="E305">
        <v>8</v>
      </c>
      <c r="F305">
        <v>3</v>
      </c>
      <c r="G305" t="b">
        <v>1</v>
      </c>
      <c r="H305" t="b">
        <v>1</v>
      </c>
      <c r="I305" t="b">
        <v>1</v>
      </c>
    </row>
    <row r="306" spans="1:9" x14ac:dyDescent="0.35">
      <c r="A306" t="s">
        <v>137</v>
      </c>
      <c r="B306">
        <v>2</v>
      </c>
      <c r="C306">
        <v>28</v>
      </c>
      <c r="D306">
        <v>27</v>
      </c>
      <c r="E306">
        <v>22</v>
      </c>
      <c r="F306">
        <v>2</v>
      </c>
      <c r="G306" t="b">
        <v>1</v>
      </c>
      <c r="H306" t="b">
        <v>1</v>
      </c>
      <c r="I306" t="b">
        <v>1</v>
      </c>
    </row>
    <row r="307" spans="1:9" x14ac:dyDescent="0.35">
      <c r="A307" t="s">
        <v>140</v>
      </c>
      <c r="B307">
        <v>1</v>
      </c>
      <c r="C307">
        <v>97</v>
      </c>
      <c r="D307">
        <v>97</v>
      </c>
      <c r="E307">
        <v>8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35">
      <c r="A308" t="s">
        <v>143</v>
      </c>
      <c r="B308">
        <v>1</v>
      </c>
      <c r="C308">
        <v>111</v>
      </c>
      <c r="D308">
        <v>114</v>
      </c>
      <c r="E308">
        <v>3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35">
      <c r="A309" t="s">
        <v>143</v>
      </c>
      <c r="B309">
        <v>1</v>
      </c>
      <c r="C309">
        <v>111</v>
      </c>
      <c r="D309">
        <v>114</v>
      </c>
      <c r="E309">
        <v>3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35">
      <c r="A310" t="s">
        <v>144</v>
      </c>
      <c r="B310">
        <v>2</v>
      </c>
      <c r="C310">
        <v>178</v>
      </c>
      <c r="D310">
        <v>179</v>
      </c>
      <c r="E310">
        <v>5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35">
      <c r="A311" t="s">
        <v>144</v>
      </c>
      <c r="B311">
        <v>2</v>
      </c>
      <c r="C311">
        <v>178</v>
      </c>
      <c r="D311">
        <v>179</v>
      </c>
      <c r="E311">
        <v>5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35">
      <c r="A312" t="s">
        <v>143</v>
      </c>
      <c r="B312">
        <v>1</v>
      </c>
      <c r="C312">
        <v>172</v>
      </c>
      <c r="D312">
        <v>175</v>
      </c>
      <c r="E312">
        <v>4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35">
      <c r="A313" t="s">
        <v>143</v>
      </c>
      <c r="B313">
        <v>1</v>
      </c>
      <c r="C313">
        <v>172</v>
      </c>
      <c r="D313">
        <v>175</v>
      </c>
      <c r="E313">
        <v>4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35">
      <c r="A314" t="s">
        <v>144</v>
      </c>
      <c r="B314">
        <v>2</v>
      </c>
      <c r="C314">
        <v>116</v>
      </c>
      <c r="D314">
        <v>117</v>
      </c>
      <c r="E314">
        <v>4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35">
      <c r="A315" t="s">
        <v>144</v>
      </c>
      <c r="B315">
        <v>2</v>
      </c>
      <c r="C315">
        <v>116</v>
      </c>
      <c r="D315">
        <v>117</v>
      </c>
      <c r="E315">
        <v>4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35">
      <c r="A316" t="s">
        <v>151</v>
      </c>
      <c r="B316">
        <v>3</v>
      </c>
      <c r="C316">
        <v>142</v>
      </c>
      <c r="D316">
        <v>138</v>
      </c>
      <c r="E316">
        <v>9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35">
      <c r="A317" t="s">
        <v>151</v>
      </c>
      <c r="B317">
        <v>3</v>
      </c>
      <c r="C317">
        <v>142</v>
      </c>
      <c r="D317">
        <v>138</v>
      </c>
      <c r="E317">
        <v>9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35">
      <c r="A318" t="s">
        <v>145</v>
      </c>
      <c r="B318">
        <v>1</v>
      </c>
      <c r="C318">
        <v>182</v>
      </c>
      <c r="D318">
        <v>187</v>
      </c>
      <c r="E318">
        <v>8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35">
      <c r="A319" t="s">
        <v>297</v>
      </c>
      <c r="B319">
        <v>1</v>
      </c>
      <c r="C319">
        <v>69</v>
      </c>
      <c r="D319">
        <v>132</v>
      </c>
      <c r="E319">
        <v>16</v>
      </c>
      <c r="F319">
        <v>1</v>
      </c>
      <c r="G319" t="b">
        <v>0</v>
      </c>
      <c r="H319" t="b">
        <v>0</v>
      </c>
      <c r="I319" t="b">
        <v>1</v>
      </c>
    </row>
    <row r="320" spans="1:9" x14ac:dyDescent="0.35">
      <c r="A320" t="s">
        <v>145</v>
      </c>
      <c r="B320">
        <v>1</v>
      </c>
      <c r="C320">
        <v>182</v>
      </c>
      <c r="D320">
        <v>187</v>
      </c>
      <c r="E320">
        <v>8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35">
      <c r="A321" t="s">
        <v>52</v>
      </c>
      <c r="B321">
        <v>3</v>
      </c>
      <c r="C321">
        <v>175</v>
      </c>
      <c r="D321">
        <v>184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35">
      <c r="A322" t="s">
        <v>146</v>
      </c>
      <c r="B322">
        <v>6</v>
      </c>
      <c r="C322">
        <v>184</v>
      </c>
      <c r="D322">
        <v>188</v>
      </c>
      <c r="E322">
        <v>15</v>
      </c>
      <c r="F322">
        <v>2</v>
      </c>
      <c r="G322" t="b">
        <v>1</v>
      </c>
      <c r="H322" t="b">
        <v>1</v>
      </c>
      <c r="I322" t="b">
        <v>1</v>
      </c>
    </row>
    <row r="323" spans="1:9" x14ac:dyDescent="0.35">
      <c r="A323" t="s">
        <v>314</v>
      </c>
      <c r="B323">
        <v>6</v>
      </c>
      <c r="C323">
        <v>140</v>
      </c>
      <c r="D323">
        <v>150</v>
      </c>
      <c r="E323">
        <v>135</v>
      </c>
      <c r="F323">
        <v>5</v>
      </c>
      <c r="G323" t="b">
        <v>0</v>
      </c>
      <c r="H323" t="b">
        <v>0</v>
      </c>
      <c r="I323" t="b">
        <v>1</v>
      </c>
    </row>
    <row r="324" spans="1:9" x14ac:dyDescent="0.35">
      <c r="A324" t="s">
        <v>145</v>
      </c>
      <c r="B324">
        <v>1</v>
      </c>
      <c r="C324">
        <v>182</v>
      </c>
      <c r="D324">
        <v>187</v>
      </c>
      <c r="E324">
        <v>8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35">
      <c r="A325" t="s">
        <v>149</v>
      </c>
      <c r="B325">
        <v>1</v>
      </c>
      <c r="C325">
        <v>176</v>
      </c>
      <c r="D325">
        <v>175</v>
      </c>
      <c r="E325">
        <v>17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35">
      <c r="A326" t="s">
        <v>151</v>
      </c>
      <c r="B326">
        <v>4</v>
      </c>
      <c r="C326">
        <v>585</v>
      </c>
      <c r="D326">
        <v>581</v>
      </c>
      <c r="E326">
        <v>15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35">
      <c r="A327" t="s">
        <v>151</v>
      </c>
      <c r="B327">
        <v>5</v>
      </c>
      <c r="C327">
        <v>417</v>
      </c>
      <c r="D327">
        <v>413</v>
      </c>
      <c r="E327">
        <v>15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35">
      <c r="A328" t="s">
        <v>151</v>
      </c>
      <c r="B328">
        <v>4</v>
      </c>
      <c r="C328">
        <v>375</v>
      </c>
      <c r="D328">
        <v>371</v>
      </c>
      <c r="E328">
        <v>15</v>
      </c>
      <c r="F328">
        <v>2</v>
      </c>
      <c r="G328" t="b">
        <v>1</v>
      </c>
      <c r="H328" t="b">
        <v>1</v>
      </c>
      <c r="I328" t="b">
        <v>1</v>
      </c>
    </row>
    <row r="329" spans="1:9" x14ac:dyDescent="0.35">
      <c r="A329" t="s">
        <v>149</v>
      </c>
      <c r="B329">
        <v>1</v>
      </c>
      <c r="C329">
        <v>409</v>
      </c>
      <c r="D329">
        <v>408</v>
      </c>
      <c r="E329">
        <v>21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35">
      <c r="A330" t="s">
        <v>158</v>
      </c>
      <c r="B330">
        <v>39</v>
      </c>
      <c r="C330">
        <v>424</v>
      </c>
      <c r="D330">
        <v>417</v>
      </c>
      <c r="E330">
        <v>37</v>
      </c>
      <c r="F330">
        <v>100021</v>
      </c>
      <c r="G330" t="b">
        <v>1</v>
      </c>
      <c r="H330" t="b">
        <v>1</v>
      </c>
      <c r="I330" t="b">
        <v>1</v>
      </c>
    </row>
    <row r="331" spans="1:9" x14ac:dyDescent="0.35">
      <c r="A331" t="s">
        <v>145</v>
      </c>
      <c r="B331">
        <v>1</v>
      </c>
      <c r="C331">
        <v>460</v>
      </c>
      <c r="D331">
        <v>465</v>
      </c>
      <c r="E331">
        <v>10</v>
      </c>
      <c r="F331">
        <v>1</v>
      </c>
      <c r="G331" t="b">
        <v>0</v>
      </c>
      <c r="H331" t="b">
        <v>0</v>
      </c>
      <c r="I331" t="b">
        <v>1</v>
      </c>
    </row>
    <row r="332" spans="1:9" x14ac:dyDescent="0.35">
      <c r="A332" t="s">
        <v>145</v>
      </c>
      <c r="B332">
        <v>1</v>
      </c>
      <c r="C332">
        <v>460</v>
      </c>
      <c r="D332">
        <v>465</v>
      </c>
      <c r="E332">
        <v>10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35">
      <c r="A333" t="s">
        <v>145</v>
      </c>
      <c r="B333">
        <v>1</v>
      </c>
      <c r="C333">
        <v>425</v>
      </c>
      <c r="D333">
        <v>430</v>
      </c>
      <c r="E333">
        <v>10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35">
      <c r="A334" t="s">
        <v>160</v>
      </c>
      <c r="B334">
        <v>3</v>
      </c>
      <c r="C334">
        <v>641</v>
      </c>
      <c r="D334">
        <v>642</v>
      </c>
      <c r="E334">
        <v>21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35">
      <c r="A335" t="s">
        <v>161</v>
      </c>
      <c r="B335">
        <v>3</v>
      </c>
      <c r="C335">
        <v>630</v>
      </c>
      <c r="D335">
        <v>627</v>
      </c>
      <c r="E335">
        <v>7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35">
      <c r="A336" t="s">
        <v>160</v>
      </c>
      <c r="B336">
        <v>3</v>
      </c>
      <c r="C336">
        <v>641</v>
      </c>
      <c r="D336">
        <v>642</v>
      </c>
      <c r="E336">
        <v>21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35">
      <c r="A337" t="s">
        <v>147</v>
      </c>
      <c r="B337">
        <v>6</v>
      </c>
      <c r="C337">
        <v>636</v>
      </c>
      <c r="D337">
        <v>631</v>
      </c>
      <c r="E337">
        <v>8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35">
      <c r="A338" t="s">
        <v>158</v>
      </c>
      <c r="B338">
        <v>8</v>
      </c>
      <c r="C338">
        <v>225</v>
      </c>
      <c r="D338">
        <v>220</v>
      </c>
      <c r="E338">
        <v>29</v>
      </c>
      <c r="F338">
        <v>2</v>
      </c>
      <c r="G338" t="b">
        <v>1</v>
      </c>
      <c r="H338" t="b">
        <v>1</v>
      </c>
      <c r="I338" t="b">
        <v>1</v>
      </c>
    </row>
    <row r="339" spans="1:9" x14ac:dyDescent="0.35">
      <c r="A339" t="s">
        <v>298</v>
      </c>
      <c r="B339">
        <v>1</v>
      </c>
      <c r="C339">
        <v>200</v>
      </c>
      <c r="D339">
        <v>278</v>
      </c>
      <c r="E339">
        <v>81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35">
      <c r="A340" t="s">
        <v>145</v>
      </c>
      <c r="B340">
        <v>1</v>
      </c>
      <c r="C340">
        <v>460</v>
      </c>
      <c r="D340">
        <v>465</v>
      </c>
      <c r="E340">
        <v>10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35">
      <c r="A341" t="s">
        <v>145</v>
      </c>
      <c r="B341">
        <v>1</v>
      </c>
      <c r="C341">
        <v>460</v>
      </c>
      <c r="D341">
        <v>465</v>
      </c>
      <c r="E341">
        <v>10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35">
      <c r="A342" t="s">
        <v>149</v>
      </c>
      <c r="B342">
        <v>1</v>
      </c>
      <c r="C342">
        <v>453</v>
      </c>
      <c r="D342">
        <v>451</v>
      </c>
      <c r="E342">
        <v>22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35">
      <c r="A343" t="s">
        <v>298</v>
      </c>
      <c r="B343">
        <v>1</v>
      </c>
      <c r="C343">
        <v>200</v>
      </c>
      <c r="D343">
        <v>278</v>
      </c>
      <c r="E343">
        <v>81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35">
      <c r="A344" t="s">
        <v>152</v>
      </c>
      <c r="B344">
        <v>2</v>
      </c>
      <c r="C344">
        <v>410</v>
      </c>
      <c r="D344">
        <v>409</v>
      </c>
      <c r="E344">
        <v>22</v>
      </c>
      <c r="F344">
        <v>2</v>
      </c>
      <c r="G344" t="b">
        <v>1</v>
      </c>
      <c r="H344" t="b">
        <v>1</v>
      </c>
      <c r="I344" t="b">
        <v>1</v>
      </c>
    </row>
    <row r="345" spans="1:9" x14ac:dyDescent="0.35">
      <c r="A345" t="s">
        <v>145</v>
      </c>
      <c r="B345">
        <v>1</v>
      </c>
      <c r="C345">
        <v>460</v>
      </c>
      <c r="D345">
        <v>465</v>
      </c>
      <c r="E345">
        <v>10</v>
      </c>
      <c r="F345">
        <v>1</v>
      </c>
      <c r="G345" t="b">
        <v>0</v>
      </c>
      <c r="H345" t="b">
        <v>0</v>
      </c>
      <c r="I345" t="b">
        <v>1</v>
      </c>
    </row>
    <row r="346" spans="1:9" x14ac:dyDescent="0.35">
      <c r="A346" t="s">
        <v>145</v>
      </c>
      <c r="B346">
        <v>2</v>
      </c>
      <c r="C346">
        <v>460</v>
      </c>
      <c r="D346">
        <v>465</v>
      </c>
      <c r="E346">
        <v>10</v>
      </c>
      <c r="F346">
        <v>2</v>
      </c>
      <c r="G346" t="b">
        <v>0</v>
      </c>
      <c r="H346" t="b">
        <v>0</v>
      </c>
      <c r="I346" t="b">
        <v>1</v>
      </c>
    </row>
    <row r="347" spans="1:9" x14ac:dyDescent="0.35">
      <c r="A347" t="s">
        <v>149</v>
      </c>
      <c r="B347">
        <v>1</v>
      </c>
      <c r="C347">
        <v>453</v>
      </c>
      <c r="D347">
        <v>451</v>
      </c>
      <c r="E347">
        <v>22</v>
      </c>
      <c r="F347">
        <v>1</v>
      </c>
      <c r="G347" t="b">
        <v>0</v>
      </c>
      <c r="H347" t="b">
        <v>0</v>
      </c>
      <c r="I347" t="b">
        <v>1</v>
      </c>
    </row>
    <row r="348" spans="1:9" x14ac:dyDescent="0.35">
      <c r="A348" t="s">
        <v>157</v>
      </c>
      <c r="B348">
        <v>10</v>
      </c>
      <c r="C348">
        <v>411</v>
      </c>
      <c r="D348">
        <v>419</v>
      </c>
      <c r="E348">
        <v>2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35">
      <c r="A349" t="s">
        <v>145</v>
      </c>
      <c r="B349">
        <v>1</v>
      </c>
      <c r="C349">
        <v>633</v>
      </c>
      <c r="D349">
        <v>638</v>
      </c>
      <c r="E349">
        <v>10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35">
      <c r="A350" t="s">
        <v>162</v>
      </c>
      <c r="B350">
        <v>5</v>
      </c>
      <c r="C350">
        <v>420</v>
      </c>
      <c r="D350">
        <v>414</v>
      </c>
      <c r="E350">
        <v>9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35">
      <c r="A351" t="s">
        <v>145</v>
      </c>
      <c r="B351">
        <v>1</v>
      </c>
      <c r="C351">
        <v>416</v>
      </c>
      <c r="D351">
        <v>421</v>
      </c>
      <c r="E351">
        <v>9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35">
      <c r="A352" t="s">
        <v>149</v>
      </c>
      <c r="B352">
        <v>1</v>
      </c>
      <c r="C352">
        <v>409</v>
      </c>
      <c r="D352">
        <v>408</v>
      </c>
      <c r="E352">
        <v>21</v>
      </c>
      <c r="F352">
        <v>2</v>
      </c>
      <c r="G352" t="b">
        <v>0</v>
      </c>
      <c r="H352" t="b">
        <v>0</v>
      </c>
      <c r="I352" t="b">
        <v>1</v>
      </c>
    </row>
    <row r="353" spans="1:9" x14ac:dyDescent="0.35">
      <c r="A353" t="s">
        <v>145</v>
      </c>
      <c r="B353">
        <v>1</v>
      </c>
      <c r="C353">
        <v>416</v>
      </c>
      <c r="D353">
        <v>421</v>
      </c>
      <c r="E353">
        <v>9</v>
      </c>
      <c r="F353">
        <v>1</v>
      </c>
      <c r="G353" t="b">
        <v>0</v>
      </c>
      <c r="H353" t="b">
        <v>0</v>
      </c>
      <c r="I353" t="b">
        <v>1</v>
      </c>
    </row>
    <row r="354" spans="1:9" x14ac:dyDescent="0.35">
      <c r="A354" t="s">
        <v>145</v>
      </c>
      <c r="B354">
        <v>1</v>
      </c>
      <c r="C354">
        <v>460</v>
      </c>
      <c r="D354">
        <v>465</v>
      </c>
      <c r="E354">
        <v>10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35">
      <c r="A355" t="s">
        <v>154</v>
      </c>
      <c r="B355">
        <v>4</v>
      </c>
      <c r="C355">
        <v>554</v>
      </c>
      <c r="D355">
        <v>554</v>
      </c>
      <c r="E355">
        <v>43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35">
      <c r="A356" t="s">
        <v>149</v>
      </c>
      <c r="B356">
        <v>1</v>
      </c>
      <c r="C356">
        <v>537</v>
      </c>
      <c r="D356">
        <v>535</v>
      </c>
      <c r="E356">
        <v>25</v>
      </c>
      <c r="F356">
        <v>1</v>
      </c>
      <c r="G356" t="b">
        <v>0</v>
      </c>
      <c r="H356" t="b">
        <v>0</v>
      </c>
      <c r="I356" t="b">
        <v>1</v>
      </c>
    </row>
    <row r="357" spans="1:9" x14ac:dyDescent="0.35">
      <c r="A357" t="s">
        <v>52</v>
      </c>
      <c r="B357">
        <v>1</v>
      </c>
      <c r="C357">
        <v>536</v>
      </c>
      <c r="D357">
        <v>546</v>
      </c>
      <c r="E357">
        <v>1</v>
      </c>
      <c r="F357">
        <v>1</v>
      </c>
      <c r="G357" t="b">
        <v>0</v>
      </c>
      <c r="H357" t="b">
        <v>0</v>
      </c>
      <c r="I357" t="b">
        <v>1</v>
      </c>
    </row>
    <row r="358" spans="1:9" x14ac:dyDescent="0.35">
      <c r="A358" t="s">
        <v>154</v>
      </c>
      <c r="B358">
        <v>6</v>
      </c>
      <c r="C358">
        <v>554</v>
      </c>
      <c r="D358">
        <v>554</v>
      </c>
      <c r="E358">
        <v>43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35">
      <c r="A359" t="s">
        <v>151</v>
      </c>
      <c r="B359">
        <v>4</v>
      </c>
      <c r="C359">
        <v>585</v>
      </c>
      <c r="D359">
        <v>581</v>
      </c>
      <c r="E359">
        <v>15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35">
      <c r="A360" t="s">
        <v>151</v>
      </c>
      <c r="B360">
        <v>5</v>
      </c>
      <c r="C360">
        <v>417</v>
      </c>
      <c r="D360">
        <v>413</v>
      </c>
      <c r="E360">
        <v>15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35">
      <c r="A361" t="s">
        <v>151</v>
      </c>
      <c r="B361">
        <v>4</v>
      </c>
      <c r="C361">
        <v>375</v>
      </c>
      <c r="D361">
        <v>371</v>
      </c>
      <c r="E361">
        <v>15</v>
      </c>
      <c r="F361">
        <v>2</v>
      </c>
      <c r="G361" t="b">
        <v>1</v>
      </c>
      <c r="H361" t="b">
        <v>1</v>
      </c>
      <c r="I361" t="b">
        <v>1</v>
      </c>
    </row>
    <row r="362" spans="1:9" x14ac:dyDescent="0.35">
      <c r="A362" t="s">
        <v>149</v>
      </c>
      <c r="B362">
        <v>1</v>
      </c>
      <c r="C362">
        <v>442</v>
      </c>
      <c r="D362">
        <v>441</v>
      </c>
      <c r="E362">
        <v>22</v>
      </c>
      <c r="F362">
        <v>2</v>
      </c>
      <c r="G362" t="b">
        <v>0</v>
      </c>
      <c r="H362" t="b">
        <v>0</v>
      </c>
      <c r="I362" t="b">
        <v>1</v>
      </c>
    </row>
    <row r="363" spans="1:9" x14ac:dyDescent="0.35">
      <c r="A363" t="s">
        <v>149</v>
      </c>
      <c r="B363">
        <v>1</v>
      </c>
      <c r="C363">
        <v>442</v>
      </c>
      <c r="D363">
        <v>441</v>
      </c>
      <c r="E363">
        <v>22</v>
      </c>
      <c r="F363">
        <v>2</v>
      </c>
      <c r="G363" t="b">
        <v>0</v>
      </c>
      <c r="H363" t="b">
        <v>0</v>
      </c>
      <c r="I363" t="b">
        <v>1</v>
      </c>
    </row>
    <row r="364" spans="1:9" x14ac:dyDescent="0.35">
      <c r="A364" t="s">
        <v>145</v>
      </c>
      <c r="B364">
        <v>1</v>
      </c>
      <c r="C364">
        <v>633</v>
      </c>
      <c r="D364">
        <v>638</v>
      </c>
      <c r="E364">
        <v>10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35">
      <c r="A365" t="s">
        <v>149</v>
      </c>
      <c r="B365">
        <v>1</v>
      </c>
      <c r="C365">
        <v>442</v>
      </c>
      <c r="D365">
        <v>441</v>
      </c>
      <c r="E365">
        <v>22</v>
      </c>
      <c r="F365">
        <v>2</v>
      </c>
      <c r="G365" t="b">
        <v>0</v>
      </c>
      <c r="H365" t="b">
        <v>0</v>
      </c>
      <c r="I365" t="b">
        <v>1</v>
      </c>
    </row>
    <row r="366" spans="1:9" x14ac:dyDescent="0.35">
      <c r="A366" t="s">
        <v>145</v>
      </c>
      <c r="B366">
        <v>1</v>
      </c>
      <c r="C366">
        <v>449</v>
      </c>
      <c r="D366">
        <v>454</v>
      </c>
      <c r="E366">
        <v>10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35">
      <c r="A367" t="s">
        <v>145</v>
      </c>
      <c r="B367">
        <v>1</v>
      </c>
      <c r="C367">
        <v>460</v>
      </c>
      <c r="D367">
        <v>465</v>
      </c>
      <c r="E367">
        <v>10</v>
      </c>
      <c r="F367">
        <v>1</v>
      </c>
      <c r="G367" t="b">
        <v>0</v>
      </c>
      <c r="H367" t="b">
        <v>0</v>
      </c>
      <c r="I367" t="b">
        <v>1</v>
      </c>
    </row>
    <row r="368" spans="1:9" x14ac:dyDescent="0.35">
      <c r="A368" t="s">
        <v>145</v>
      </c>
      <c r="B368">
        <v>1</v>
      </c>
      <c r="C368">
        <v>460</v>
      </c>
      <c r="D368">
        <v>465</v>
      </c>
      <c r="E368">
        <v>10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35">
      <c r="A369" t="s">
        <v>145</v>
      </c>
      <c r="B369">
        <v>1</v>
      </c>
      <c r="C369">
        <v>425</v>
      </c>
      <c r="D369">
        <v>430</v>
      </c>
      <c r="E369">
        <v>10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35">
      <c r="A370" t="s">
        <v>145</v>
      </c>
      <c r="B370">
        <v>1</v>
      </c>
      <c r="C370">
        <v>633</v>
      </c>
      <c r="D370">
        <v>638</v>
      </c>
      <c r="E370">
        <v>10</v>
      </c>
      <c r="F370">
        <v>1</v>
      </c>
      <c r="G370" t="b">
        <v>0</v>
      </c>
      <c r="H370" t="b">
        <v>0</v>
      </c>
      <c r="I370" t="b">
        <v>1</v>
      </c>
    </row>
    <row r="371" spans="1:9" x14ac:dyDescent="0.35">
      <c r="A371" t="s">
        <v>149</v>
      </c>
      <c r="B371">
        <v>1</v>
      </c>
      <c r="C371">
        <v>626</v>
      </c>
      <c r="D371">
        <v>625</v>
      </c>
      <c r="E371">
        <v>32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35">
      <c r="A372" t="s">
        <v>145</v>
      </c>
      <c r="B372">
        <v>1</v>
      </c>
      <c r="C372">
        <v>633</v>
      </c>
      <c r="D372">
        <v>638</v>
      </c>
      <c r="E372">
        <v>10</v>
      </c>
      <c r="F372">
        <v>1</v>
      </c>
      <c r="G372" t="b">
        <v>0</v>
      </c>
      <c r="H372" t="b">
        <v>0</v>
      </c>
      <c r="I372" t="b">
        <v>1</v>
      </c>
    </row>
    <row r="373" spans="1:9" x14ac:dyDescent="0.35">
      <c r="A373" t="s">
        <v>149</v>
      </c>
      <c r="B373">
        <v>1</v>
      </c>
      <c r="C373">
        <v>626</v>
      </c>
      <c r="D373">
        <v>625</v>
      </c>
      <c r="E373">
        <v>32</v>
      </c>
      <c r="F373">
        <v>1</v>
      </c>
      <c r="G373" t="b">
        <v>0</v>
      </c>
      <c r="H373" t="b">
        <v>0</v>
      </c>
      <c r="I373" t="b">
        <v>1</v>
      </c>
    </row>
    <row r="374" spans="1:9" x14ac:dyDescent="0.35">
      <c r="A374" t="s">
        <v>158</v>
      </c>
      <c r="B374">
        <v>8</v>
      </c>
      <c r="C374">
        <v>225</v>
      </c>
      <c r="D374">
        <v>220</v>
      </c>
      <c r="E374">
        <v>29</v>
      </c>
      <c r="F374">
        <v>2</v>
      </c>
      <c r="G374" t="b">
        <v>1</v>
      </c>
      <c r="H374" t="b">
        <v>1</v>
      </c>
      <c r="I374" t="b">
        <v>1</v>
      </c>
    </row>
    <row r="375" spans="1:9" x14ac:dyDescent="0.35">
      <c r="A375" t="s">
        <v>298</v>
      </c>
      <c r="B375">
        <v>1</v>
      </c>
      <c r="C375">
        <v>200</v>
      </c>
      <c r="D375">
        <v>278</v>
      </c>
      <c r="E375">
        <v>81</v>
      </c>
      <c r="F375">
        <v>1</v>
      </c>
      <c r="G375" t="b">
        <v>0</v>
      </c>
      <c r="H375" t="b">
        <v>0</v>
      </c>
      <c r="I375" t="b">
        <v>1</v>
      </c>
    </row>
    <row r="376" spans="1:9" x14ac:dyDescent="0.35">
      <c r="A376" t="s">
        <v>145</v>
      </c>
      <c r="B376">
        <v>1</v>
      </c>
      <c r="C376">
        <v>460</v>
      </c>
      <c r="D376">
        <v>465</v>
      </c>
      <c r="E376">
        <v>10</v>
      </c>
      <c r="F376">
        <v>1</v>
      </c>
      <c r="G376" t="b">
        <v>0</v>
      </c>
      <c r="H376" t="b">
        <v>0</v>
      </c>
      <c r="I376" t="b">
        <v>1</v>
      </c>
    </row>
    <row r="377" spans="1:9" x14ac:dyDescent="0.35">
      <c r="A377" t="s">
        <v>145</v>
      </c>
      <c r="B377">
        <v>1</v>
      </c>
      <c r="C377">
        <v>460</v>
      </c>
      <c r="D377">
        <v>465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35">
      <c r="A378" t="s">
        <v>298</v>
      </c>
      <c r="B378">
        <v>1</v>
      </c>
      <c r="C378">
        <v>221</v>
      </c>
      <c r="D378">
        <v>319</v>
      </c>
      <c r="E378">
        <v>102</v>
      </c>
      <c r="F378">
        <v>1</v>
      </c>
      <c r="G378" t="b">
        <v>0</v>
      </c>
      <c r="H378" t="b">
        <v>0</v>
      </c>
      <c r="I378" t="b">
        <v>1</v>
      </c>
    </row>
    <row r="379" spans="1:9" x14ac:dyDescent="0.35">
      <c r="A379" t="s">
        <v>298</v>
      </c>
      <c r="B379">
        <v>1</v>
      </c>
      <c r="C379">
        <v>221</v>
      </c>
      <c r="D379">
        <v>319</v>
      </c>
      <c r="E379">
        <v>102</v>
      </c>
      <c r="F379">
        <v>1</v>
      </c>
      <c r="G379" t="b">
        <v>0</v>
      </c>
      <c r="H379" t="b">
        <v>0</v>
      </c>
      <c r="I379" t="b">
        <v>1</v>
      </c>
    </row>
    <row r="380" spans="1:9" x14ac:dyDescent="0.35">
      <c r="A380" t="s">
        <v>160</v>
      </c>
      <c r="B380">
        <v>3</v>
      </c>
      <c r="C380">
        <v>467</v>
      </c>
      <c r="D380">
        <v>468</v>
      </c>
      <c r="E380">
        <v>17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35">
      <c r="A381" t="s">
        <v>161</v>
      </c>
      <c r="B381">
        <v>3</v>
      </c>
      <c r="C381">
        <v>456</v>
      </c>
      <c r="D381">
        <v>453</v>
      </c>
      <c r="E381">
        <v>7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35">
      <c r="A382" t="s">
        <v>157</v>
      </c>
      <c r="B382">
        <v>10</v>
      </c>
      <c r="C382">
        <v>411</v>
      </c>
      <c r="D382">
        <v>419</v>
      </c>
      <c r="E382">
        <v>2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35">
      <c r="A383" t="s">
        <v>145</v>
      </c>
      <c r="B383">
        <v>1</v>
      </c>
      <c r="C383">
        <v>633</v>
      </c>
      <c r="D383">
        <v>638</v>
      </c>
      <c r="E383">
        <v>10</v>
      </c>
      <c r="F383">
        <v>1</v>
      </c>
      <c r="G383" t="b">
        <v>0</v>
      </c>
      <c r="H383" t="b">
        <v>0</v>
      </c>
      <c r="I383" t="b">
        <v>1</v>
      </c>
    </row>
    <row r="384" spans="1:9" x14ac:dyDescent="0.35">
      <c r="A384" t="s">
        <v>145</v>
      </c>
      <c r="B384">
        <v>1</v>
      </c>
      <c r="C384">
        <v>416</v>
      </c>
      <c r="D384">
        <v>421</v>
      </c>
      <c r="E384">
        <v>9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35">
      <c r="A385" t="s">
        <v>149</v>
      </c>
      <c r="B385">
        <v>1</v>
      </c>
      <c r="C385">
        <v>409</v>
      </c>
      <c r="D385">
        <v>408</v>
      </c>
      <c r="E385">
        <v>21</v>
      </c>
      <c r="F385">
        <v>2</v>
      </c>
      <c r="G385" t="b">
        <v>0</v>
      </c>
      <c r="H385" t="b">
        <v>0</v>
      </c>
      <c r="I385" t="b">
        <v>1</v>
      </c>
    </row>
    <row r="386" spans="1:9" x14ac:dyDescent="0.35">
      <c r="A386" t="s">
        <v>145</v>
      </c>
      <c r="B386">
        <v>1</v>
      </c>
      <c r="C386">
        <v>416</v>
      </c>
      <c r="D386">
        <v>421</v>
      </c>
      <c r="E386">
        <v>9</v>
      </c>
      <c r="F386">
        <v>1</v>
      </c>
      <c r="G386" t="b">
        <v>0</v>
      </c>
      <c r="H386" t="b">
        <v>0</v>
      </c>
      <c r="I386" t="b">
        <v>1</v>
      </c>
    </row>
    <row r="387" spans="1:9" x14ac:dyDescent="0.35">
      <c r="A387" t="s">
        <v>162</v>
      </c>
      <c r="B387">
        <v>5</v>
      </c>
      <c r="C387">
        <v>420</v>
      </c>
      <c r="D387">
        <v>414</v>
      </c>
      <c r="E387">
        <v>9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35">
      <c r="A388" t="s">
        <v>145</v>
      </c>
      <c r="B388">
        <v>1</v>
      </c>
      <c r="C388">
        <v>460</v>
      </c>
      <c r="D388">
        <v>465</v>
      </c>
      <c r="E388">
        <v>10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35">
      <c r="A389" t="s">
        <v>154</v>
      </c>
      <c r="B389">
        <v>4</v>
      </c>
      <c r="C389">
        <v>554</v>
      </c>
      <c r="D389">
        <v>554</v>
      </c>
      <c r="E389">
        <v>43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35">
      <c r="A390" t="s">
        <v>149</v>
      </c>
      <c r="B390">
        <v>1</v>
      </c>
      <c r="C390">
        <v>537</v>
      </c>
      <c r="D390">
        <v>535</v>
      </c>
      <c r="E390">
        <v>25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35">
      <c r="A391" t="s">
        <v>52</v>
      </c>
      <c r="B391">
        <v>1</v>
      </c>
      <c r="C391">
        <v>536</v>
      </c>
      <c r="D391">
        <v>546</v>
      </c>
      <c r="E391">
        <v>1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35">
      <c r="A392" t="s">
        <v>154</v>
      </c>
      <c r="B392">
        <v>6</v>
      </c>
      <c r="C392">
        <v>554</v>
      </c>
      <c r="D392">
        <v>554</v>
      </c>
      <c r="E392">
        <v>43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35">
      <c r="A393" t="s">
        <v>164</v>
      </c>
      <c r="B393">
        <v>2</v>
      </c>
      <c r="C393">
        <v>134</v>
      </c>
      <c r="D393">
        <v>137</v>
      </c>
      <c r="E393">
        <v>6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35">
      <c r="A394" t="s">
        <v>166</v>
      </c>
      <c r="B394">
        <v>1</v>
      </c>
      <c r="C394">
        <v>97</v>
      </c>
      <c r="D394">
        <v>101</v>
      </c>
      <c r="E394">
        <v>9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35">
      <c r="A395" t="s">
        <v>179</v>
      </c>
      <c r="B395">
        <v>4</v>
      </c>
      <c r="C395">
        <v>457</v>
      </c>
      <c r="D395">
        <v>454</v>
      </c>
      <c r="E395">
        <v>9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35">
      <c r="A396" t="s">
        <v>54</v>
      </c>
      <c r="B396">
        <v>1</v>
      </c>
      <c r="C396">
        <v>510</v>
      </c>
      <c r="D396">
        <v>513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35">
      <c r="A397" t="s">
        <v>315</v>
      </c>
      <c r="B397">
        <v>1</v>
      </c>
      <c r="C397">
        <v>358</v>
      </c>
      <c r="D397">
        <v>406</v>
      </c>
      <c r="E397">
        <v>30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35">
      <c r="A398" t="s">
        <v>183</v>
      </c>
      <c r="B398">
        <v>1</v>
      </c>
      <c r="C398">
        <v>589</v>
      </c>
      <c r="D398">
        <v>595</v>
      </c>
      <c r="E398">
        <v>6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35">
      <c r="A399" t="s">
        <v>176</v>
      </c>
      <c r="B399">
        <v>4</v>
      </c>
      <c r="C399">
        <v>598</v>
      </c>
      <c r="D399">
        <v>600</v>
      </c>
      <c r="E399">
        <v>8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35">
      <c r="A400" t="s">
        <v>178</v>
      </c>
      <c r="B400">
        <v>6</v>
      </c>
      <c r="C400">
        <v>588</v>
      </c>
      <c r="D400">
        <v>588</v>
      </c>
      <c r="E400">
        <v>2</v>
      </c>
      <c r="F400">
        <v>6</v>
      </c>
      <c r="G400" t="b">
        <v>1</v>
      </c>
      <c r="H400" t="b">
        <v>1</v>
      </c>
      <c r="I400" t="b">
        <v>1</v>
      </c>
    </row>
    <row r="401" spans="1:9" x14ac:dyDescent="0.35">
      <c r="A401" t="s">
        <v>315</v>
      </c>
      <c r="B401">
        <v>1</v>
      </c>
      <c r="C401">
        <v>358</v>
      </c>
      <c r="D401">
        <v>406</v>
      </c>
      <c r="E401">
        <v>30</v>
      </c>
      <c r="F401">
        <v>1</v>
      </c>
      <c r="G401" t="b">
        <v>0</v>
      </c>
      <c r="H401" t="b">
        <v>0</v>
      </c>
      <c r="I401" t="b">
        <v>1</v>
      </c>
    </row>
    <row r="402" spans="1:9" x14ac:dyDescent="0.35">
      <c r="A402" t="s">
        <v>183</v>
      </c>
      <c r="B402">
        <v>1</v>
      </c>
      <c r="C402">
        <v>589</v>
      </c>
      <c r="D402">
        <v>595</v>
      </c>
      <c r="E402">
        <v>6</v>
      </c>
      <c r="F402">
        <v>1</v>
      </c>
      <c r="G402" t="b">
        <v>0</v>
      </c>
      <c r="H402" t="b">
        <v>0</v>
      </c>
      <c r="I402" t="b">
        <v>1</v>
      </c>
    </row>
    <row r="403" spans="1:9" x14ac:dyDescent="0.35">
      <c r="A403" t="s">
        <v>183</v>
      </c>
      <c r="B403">
        <v>2</v>
      </c>
      <c r="C403">
        <v>589</v>
      </c>
      <c r="D403">
        <v>595</v>
      </c>
      <c r="E403">
        <v>6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35">
      <c r="A404" t="s">
        <v>183</v>
      </c>
      <c r="B404">
        <v>1</v>
      </c>
      <c r="C404">
        <v>589</v>
      </c>
      <c r="D404">
        <v>595</v>
      </c>
      <c r="E404">
        <v>6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35">
      <c r="A405" t="s">
        <v>178</v>
      </c>
      <c r="B405">
        <v>1</v>
      </c>
      <c r="C405">
        <v>588</v>
      </c>
      <c r="D405">
        <v>588</v>
      </c>
      <c r="E405">
        <v>2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35">
      <c r="A406" t="s">
        <v>171</v>
      </c>
      <c r="B406">
        <v>3</v>
      </c>
      <c r="C406">
        <v>596</v>
      </c>
      <c r="D406">
        <v>598</v>
      </c>
      <c r="E406">
        <v>11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35">
      <c r="A407" t="s">
        <v>178</v>
      </c>
      <c r="B407">
        <v>1</v>
      </c>
      <c r="C407">
        <v>588</v>
      </c>
      <c r="D407">
        <v>588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35">
      <c r="A408" t="s">
        <v>172</v>
      </c>
      <c r="B408">
        <v>1</v>
      </c>
      <c r="C408">
        <v>462</v>
      </c>
      <c r="D408">
        <v>467</v>
      </c>
      <c r="E408">
        <v>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35">
      <c r="A409" t="s">
        <v>172</v>
      </c>
      <c r="B409">
        <v>1</v>
      </c>
      <c r="C409">
        <v>462</v>
      </c>
      <c r="D409">
        <v>467</v>
      </c>
      <c r="E409">
        <v>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35">
      <c r="A410" t="s">
        <v>178</v>
      </c>
      <c r="B410">
        <v>1</v>
      </c>
      <c r="C410">
        <v>474</v>
      </c>
      <c r="D410">
        <v>474</v>
      </c>
      <c r="E410">
        <v>3</v>
      </c>
      <c r="F410">
        <v>2</v>
      </c>
      <c r="G410" t="b">
        <v>0</v>
      </c>
      <c r="H410" t="b">
        <v>0</v>
      </c>
      <c r="I410" t="b">
        <v>1</v>
      </c>
    </row>
    <row r="411" spans="1:9" x14ac:dyDescent="0.35">
      <c r="A411" t="s">
        <v>183</v>
      </c>
      <c r="B411">
        <v>1</v>
      </c>
      <c r="C411">
        <v>476</v>
      </c>
      <c r="D411">
        <v>482</v>
      </c>
      <c r="E411">
        <v>7</v>
      </c>
      <c r="F411">
        <v>1</v>
      </c>
      <c r="G411" t="b">
        <v>0</v>
      </c>
      <c r="H411" t="b">
        <v>0</v>
      </c>
      <c r="I411" t="b">
        <v>1</v>
      </c>
    </row>
    <row r="412" spans="1:9" x14ac:dyDescent="0.35">
      <c r="A412" t="s">
        <v>183</v>
      </c>
      <c r="B412">
        <v>3</v>
      </c>
      <c r="C412">
        <v>476</v>
      </c>
      <c r="D412">
        <v>482</v>
      </c>
      <c r="E412">
        <v>7</v>
      </c>
      <c r="F412">
        <v>2</v>
      </c>
      <c r="G412" t="b">
        <v>1</v>
      </c>
      <c r="H412" t="b">
        <v>1</v>
      </c>
      <c r="I412" t="b">
        <v>1</v>
      </c>
    </row>
    <row r="413" spans="1:9" x14ac:dyDescent="0.35">
      <c r="A413" t="s">
        <v>180</v>
      </c>
      <c r="B413">
        <v>5</v>
      </c>
      <c r="C413">
        <v>599</v>
      </c>
      <c r="D413">
        <v>600</v>
      </c>
      <c r="E413">
        <v>20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35">
      <c r="A414" t="s">
        <v>183</v>
      </c>
      <c r="B414">
        <v>1</v>
      </c>
      <c r="C414">
        <v>589</v>
      </c>
      <c r="D414">
        <v>595</v>
      </c>
      <c r="E414">
        <v>6</v>
      </c>
      <c r="F414">
        <v>1</v>
      </c>
      <c r="G414" t="b">
        <v>0</v>
      </c>
      <c r="H414" t="b">
        <v>0</v>
      </c>
      <c r="I414" t="b">
        <v>1</v>
      </c>
    </row>
    <row r="415" spans="1:9" x14ac:dyDescent="0.35">
      <c r="A415" t="s">
        <v>183</v>
      </c>
      <c r="B415">
        <v>2</v>
      </c>
      <c r="C415">
        <v>589</v>
      </c>
      <c r="D415">
        <v>595</v>
      </c>
      <c r="E415">
        <v>6</v>
      </c>
      <c r="F415">
        <v>2</v>
      </c>
      <c r="G415" t="b">
        <v>0</v>
      </c>
      <c r="H415" t="b">
        <v>0</v>
      </c>
      <c r="I415" t="b">
        <v>1</v>
      </c>
    </row>
    <row r="416" spans="1:9" x14ac:dyDescent="0.35">
      <c r="A416" t="s">
        <v>185</v>
      </c>
      <c r="B416">
        <v>1</v>
      </c>
      <c r="C416">
        <v>600</v>
      </c>
      <c r="D416">
        <v>601</v>
      </c>
      <c r="E416">
        <v>1</v>
      </c>
      <c r="F416">
        <v>1</v>
      </c>
      <c r="G416" t="b">
        <v>0</v>
      </c>
      <c r="H416" t="b">
        <v>0</v>
      </c>
      <c r="I416" t="b">
        <v>1</v>
      </c>
    </row>
    <row r="417" spans="1:9" x14ac:dyDescent="0.35">
      <c r="A417" t="s">
        <v>183</v>
      </c>
      <c r="B417">
        <v>1</v>
      </c>
      <c r="C417">
        <v>589</v>
      </c>
      <c r="D417">
        <v>595</v>
      </c>
      <c r="E417">
        <v>6</v>
      </c>
      <c r="F417">
        <v>1</v>
      </c>
      <c r="G417" t="b">
        <v>0</v>
      </c>
      <c r="H417" t="b">
        <v>0</v>
      </c>
      <c r="I417" t="b">
        <v>1</v>
      </c>
    </row>
    <row r="418" spans="1:9" x14ac:dyDescent="0.35">
      <c r="A418" t="s">
        <v>185</v>
      </c>
      <c r="B418">
        <v>1</v>
      </c>
      <c r="C418">
        <v>600</v>
      </c>
      <c r="D418">
        <v>601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35">
      <c r="A419" t="s">
        <v>316</v>
      </c>
      <c r="B419">
        <v>1</v>
      </c>
      <c r="C419">
        <v>507</v>
      </c>
      <c r="D419">
        <v>546</v>
      </c>
      <c r="E419">
        <v>41</v>
      </c>
      <c r="F419">
        <v>1</v>
      </c>
      <c r="G419" t="b">
        <v>0</v>
      </c>
      <c r="H419" t="b">
        <v>0</v>
      </c>
      <c r="I419" t="b">
        <v>1</v>
      </c>
    </row>
    <row r="420" spans="1:9" x14ac:dyDescent="0.35">
      <c r="A420" t="s">
        <v>183</v>
      </c>
      <c r="B420">
        <v>1</v>
      </c>
      <c r="C420">
        <v>598</v>
      </c>
      <c r="D420">
        <v>604</v>
      </c>
      <c r="E420">
        <v>7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35">
      <c r="A421" t="s">
        <v>316</v>
      </c>
      <c r="B421">
        <v>1</v>
      </c>
      <c r="C421">
        <v>507</v>
      </c>
      <c r="D421">
        <v>546</v>
      </c>
      <c r="E421">
        <v>41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35">
      <c r="A422" t="s">
        <v>183</v>
      </c>
      <c r="B422">
        <v>1</v>
      </c>
      <c r="C422">
        <v>598</v>
      </c>
      <c r="D422">
        <v>604</v>
      </c>
      <c r="E422">
        <v>7</v>
      </c>
      <c r="F422">
        <v>1</v>
      </c>
      <c r="G422" t="b">
        <v>0</v>
      </c>
      <c r="H422" t="b">
        <v>0</v>
      </c>
      <c r="I422" t="b">
        <v>1</v>
      </c>
    </row>
    <row r="423" spans="1:9" x14ac:dyDescent="0.35">
      <c r="A423" t="s">
        <v>183</v>
      </c>
      <c r="B423">
        <v>3</v>
      </c>
      <c r="C423">
        <v>598</v>
      </c>
      <c r="D423">
        <v>604</v>
      </c>
      <c r="E423">
        <v>7</v>
      </c>
      <c r="F423">
        <v>2</v>
      </c>
      <c r="G423" t="b">
        <v>0</v>
      </c>
      <c r="H423" t="b">
        <v>0</v>
      </c>
      <c r="I423" t="b">
        <v>1</v>
      </c>
    </row>
    <row r="424" spans="1:9" x14ac:dyDescent="0.35">
      <c r="A424" t="s">
        <v>316</v>
      </c>
      <c r="B424">
        <v>1</v>
      </c>
      <c r="C424">
        <v>507</v>
      </c>
      <c r="D424">
        <v>546</v>
      </c>
      <c r="E424">
        <v>41</v>
      </c>
      <c r="F424">
        <v>1</v>
      </c>
      <c r="G424" t="b">
        <v>0</v>
      </c>
      <c r="H424" t="b">
        <v>0</v>
      </c>
      <c r="I424" t="b">
        <v>1</v>
      </c>
    </row>
    <row r="425" spans="1:9" x14ac:dyDescent="0.35">
      <c r="A425" t="s">
        <v>183</v>
      </c>
      <c r="B425">
        <v>1</v>
      </c>
      <c r="C425">
        <v>598</v>
      </c>
      <c r="D425">
        <v>604</v>
      </c>
      <c r="E425">
        <v>7</v>
      </c>
      <c r="F425">
        <v>1</v>
      </c>
      <c r="G425" t="b">
        <v>0</v>
      </c>
      <c r="H425" t="b">
        <v>0</v>
      </c>
      <c r="I425" t="b">
        <v>1</v>
      </c>
    </row>
    <row r="426" spans="1:9" x14ac:dyDescent="0.35">
      <c r="A426" t="s">
        <v>183</v>
      </c>
      <c r="B426">
        <v>3</v>
      </c>
      <c r="C426">
        <v>598</v>
      </c>
      <c r="D426">
        <v>604</v>
      </c>
      <c r="E426">
        <v>7</v>
      </c>
      <c r="F426">
        <v>2</v>
      </c>
      <c r="G426" t="b">
        <v>0</v>
      </c>
      <c r="H426" t="b">
        <v>0</v>
      </c>
      <c r="I426" t="b">
        <v>1</v>
      </c>
    </row>
    <row r="427" spans="1:9" x14ac:dyDescent="0.35">
      <c r="A427" t="s">
        <v>174</v>
      </c>
      <c r="B427">
        <v>5</v>
      </c>
      <c r="C427">
        <v>463</v>
      </c>
      <c r="D427">
        <v>456</v>
      </c>
      <c r="E427">
        <v>4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35">
      <c r="A428" t="s">
        <v>187</v>
      </c>
      <c r="B428">
        <v>1</v>
      </c>
      <c r="C428">
        <v>471</v>
      </c>
      <c r="D428">
        <v>471</v>
      </c>
      <c r="E428">
        <v>6</v>
      </c>
      <c r="F428">
        <v>2</v>
      </c>
      <c r="G428" t="b">
        <v>0</v>
      </c>
      <c r="H428" t="b">
        <v>0</v>
      </c>
      <c r="I428" t="b">
        <v>1</v>
      </c>
    </row>
    <row r="429" spans="1:9" x14ac:dyDescent="0.35">
      <c r="A429" t="s">
        <v>189</v>
      </c>
      <c r="B429">
        <v>1</v>
      </c>
      <c r="C429">
        <v>479</v>
      </c>
      <c r="D429">
        <v>482</v>
      </c>
      <c r="E429">
        <v>12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35">
      <c r="A430" t="s">
        <v>317</v>
      </c>
      <c r="B430">
        <v>1</v>
      </c>
      <c r="C430">
        <v>704</v>
      </c>
      <c r="D430">
        <v>744</v>
      </c>
      <c r="E430">
        <v>32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35">
      <c r="A431" t="s">
        <v>189</v>
      </c>
      <c r="B431">
        <v>1</v>
      </c>
      <c r="C431">
        <v>761</v>
      </c>
      <c r="D431">
        <v>764</v>
      </c>
      <c r="E431">
        <v>12</v>
      </c>
      <c r="F431">
        <v>1</v>
      </c>
      <c r="G431" t="b">
        <v>0</v>
      </c>
      <c r="H431" t="b">
        <v>0</v>
      </c>
      <c r="I431" t="b">
        <v>1</v>
      </c>
    </row>
    <row r="432" spans="1:9" x14ac:dyDescent="0.35">
      <c r="A432" t="s">
        <v>317</v>
      </c>
      <c r="B432">
        <v>1</v>
      </c>
      <c r="C432">
        <v>704</v>
      </c>
      <c r="D432">
        <v>744</v>
      </c>
      <c r="E432">
        <v>32</v>
      </c>
      <c r="F432">
        <v>1</v>
      </c>
      <c r="G432" t="b">
        <v>0</v>
      </c>
      <c r="H432" t="b">
        <v>0</v>
      </c>
      <c r="I432" t="b">
        <v>1</v>
      </c>
    </row>
    <row r="433" spans="1:9" x14ac:dyDescent="0.35">
      <c r="A433" t="s">
        <v>317</v>
      </c>
      <c r="B433">
        <v>1</v>
      </c>
      <c r="C433">
        <v>704</v>
      </c>
      <c r="D433">
        <v>744</v>
      </c>
      <c r="E433">
        <v>32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35">
      <c r="A434" t="s">
        <v>189</v>
      </c>
      <c r="B434">
        <v>1</v>
      </c>
      <c r="C434">
        <v>761</v>
      </c>
      <c r="D434">
        <v>764</v>
      </c>
      <c r="E434">
        <v>12</v>
      </c>
      <c r="F434">
        <v>1</v>
      </c>
      <c r="G434" t="b">
        <v>0</v>
      </c>
      <c r="H434" t="b">
        <v>0</v>
      </c>
      <c r="I434" t="b">
        <v>1</v>
      </c>
    </row>
    <row r="435" spans="1:9" x14ac:dyDescent="0.35">
      <c r="A435" t="s">
        <v>317</v>
      </c>
      <c r="B435">
        <v>1</v>
      </c>
      <c r="C435">
        <v>704</v>
      </c>
      <c r="D435">
        <v>744</v>
      </c>
      <c r="E435">
        <v>32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35">
      <c r="A436" t="s">
        <v>201</v>
      </c>
      <c r="B436">
        <v>1</v>
      </c>
      <c r="C436">
        <v>765</v>
      </c>
      <c r="D436">
        <v>766</v>
      </c>
      <c r="E436">
        <v>1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35">
      <c r="A437" t="s">
        <v>318</v>
      </c>
      <c r="B437">
        <v>1</v>
      </c>
      <c r="C437">
        <v>312</v>
      </c>
      <c r="D437">
        <v>670</v>
      </c>
      <c r="E437">
        <v>32</v>
      </c>
      <c r="F437">
        <v>1</v>
      </c>
      <c r="G437" t="b">
        <v>0</v>
      </c>
      <c r="H437" t="b">
        <v>0</v>
      </c>
      <c r="I437" t="b">
        <v>1</v>
      </c>
    </row>
    <row r="438" spans="1:9" x14ac:dyDescent="0.35">
      <c r="A438" t="s">
        <v>189</v>
      </c>
      <c r="B438">
        <v>1</v>
      </c>
      <c r="C438">
        <v>762</v>
      </c>
      <c r="D438">
        <v>765</v>
      </c>
      <c r="E438">
        <v>12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35">
      <c r="A439" t="s">
        <v>317</v>
      </c>
      <c r="B439">
        <v>1</v>
      </c>
      <c r="C439">
        <v>704</v>
      </c>
      <c r="D439">
        <v>744</v>
      </c>
      <c r="E439">
        <v>32</v>
      </c>
      <c r="F439">
        <v>1</v>
      </c>
      <c r="G439" t="b">
        <v>0</v>
      </c>
      <c r="H439" t="b">
        <v>0</v>
      </c>
      <c r="I439" t="b">
        <v>1</v>
      </c>
    </row>
    <row r="440" spans="1:9" x14ac:dyDescent="0.35">
      <c r="A440" t="s">
        <v>189</v>
      </c>
      <c r="B440">
        <v>1</v>
      </c>
      <c r="C440">
        <v>761</v>
      </c>
      <c r="D440">
        <v>764</v>
      </c>
      <c r="E440">
        <v>12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35">
      <c r="A441" t="s">
        <v>319</v>
      </c>
      <c r="B441">
        <v>1</v>
      </c>
      <c r="C441">
        <v>1040</v>
      </c>
      <c r="D441">
        <v>1095</v>
      </c>
      <c r="E441">
        <v>59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35">
      <c r="A442" t="s">
        <v>319</v>
      </c>
      <c r="B442">
        <v>1</v>
      </c>
      <c r="C442">
        <v>1040</v>
      </c>
      <c r="D442">
        <v>1095</v>
      </c>
      <c r="E442">
        <v>59</v>
      </c>
      <c r="F442">
        <v>1</v>
      </c>
      <c r="G442" t="b">
        <v>0</v>
      </c>
      <c r="H442" t="b">
        <v>0</v>
      </c>
      <c r="I442" t="b">
        <v>1</v>
      </c>
    </row>
    <row r="443" spans="1:9" x14ac:dyDescent="0.35">
      <c r="A443" t="s">
        <v>319</v>
      </c>
      <c r="B443">
        <v>1</v>
      </c>
      <c r="C443">
        <v>1040</v>
      </c>
      <c r="D443">
        <v>1095</v>
      </c>
      <c r="E443">
        <v>59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35">
      <c r="A444" t="s">
        <v>189</v>
      </c>
      <c r="B444">
        <v>1</v>
      </c>
      <c r="C444">
        <v>1257</v>
      </c>
      <c r="D444">
        <v>1260</v>
      </c>
      <c r="E444">
        <v>17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35">
      <c r="A445" t="s">
        <v>202</v>
      </c>
      <c r="B445">
        <v>4</v>
      </c>
      <c r="C445">
        <v>88</v>
      </c>
      <c r="D445">
        <v>85</v>
      </c>
      <c r="E445">
        <v>5</v>
      </c>
      <c r="F445">
        <v>2</v>
      </c>
      <c r="G445" t="b">
        <v>1</v>
      </c>
      <c r="H445" t="b">
        <v>1</v>
      </c>
      <c r="I445" t="b">
        <v>1</v>
      </c>
    </row>
    <row r="446" spans="1:9" x14ac:dyDescent="0.35">
      <c r="A446" t="s">
        <v>189</v>
      </c>
      <c r="B446">
        <v>1</v>
      </c>
      <c r="C446">
        <v>770</v>
      </c>
      <c r="D446">
        <v>773</v>
      </c>
      <c r="E446">
        <v>13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35">
      <c r="A447" t="s">
        <v>187</v>
      </c>
      <c r="B447">
        <v>1</v>
      </c>
      <c r="C447">
        <v>762</v>
      </c>
      <c r="D447">
        <v>762</v>
      </c>
      <c r="E447">
        <v>7</v>
      </c>
      <c r="F447">
        <v>1</v>
      </c>
      <c r="G447" t="b">
        <v>0</v>
      </c>
      <c r="H447" t="b">
        <v>0</v>
      </c>
      <c r="I447" t="b">
        <v>1</v>
      </c>
    </row>
    <row r="448" spans="1:9" x14ac:dyDescent="0.35">
      <c r="A448" t="s">
        <v>317</v>
      </c>
      <c r="B448">
        <v>1</v>
      </c>
      <c r="C448">
        <v>712</v>
      </c>
      <c r="D448">
        <v>752</v>
      </c>
      <c r="E448">
        <v>33</v>
      </c>
      <c r="F448">
        <v>1</v>
      </c>
      <c r="G448" t="b">
        <v>0</v>
      </c>
      <c r="H448" t="b">
        <v>0</v>
      </c>
      <c r="I448" t="b">
        <v>1</v>
      </c>
    </row>
    <row r="449" spans="1:9" x14ac:dyDescent="0.35">
      <c r="A449" t="s">
        <v>189</v>
      </c>
      <c r="B449">
        <v>1</v>
      </c>
      <c r="C449">
        <v>770</v>
      </c>
      <c r="D449">
        <v>773</v>
      </c>
      <c r="E449">
        <v>13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35">
      <c r="A450" t="s">
        <v>192</v>
      </c>
      <c r="B450">
        <v>1</v>
      </c>
      <c r="C450">
        <v>757</v>
      </c>
      <c r="D450">
        <v>763</v>
      </c>
      <c r="E450">
        <v>1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35">
      <c r="A451" t="s">
        <v>189</v>
      </c>
      <c r="B451">
        <v>1</v>
      </c>
      <c r="C451">
        <v>1258</v>
      </c>
      <c r="D451">
        <v>1261</v>
      </c>
      <c r="E451">
        <v>17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35">
      <c r="A452" t="s">
        <v>187</v>
      </c>
      <c r="B452">
        <v>1</v>
      </c>
      <c r="C452">
        <v>1250</v>
      </c>
      <c r="D452">
        <v>1250</v>
      </c>
      <c r="E452">
        <v>11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35">
      <c r="A453" t="s">
        <v>196</v>
      </c>
      <c r="B453">
        <v>4</v>
      </c>
      <c r="C453">
        <v>436</v>
      </c>
      <c r="D453">
        <v>435</v>
      </c>
      <c r="E453">
        <v>8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35">
      <c r="A454" t="s">
        <v>206</v>
      </c>
      <c r="B454">
        <v>1</v>
      </c>
      <c r="C454">
        <v>387</v>
      </c>
      <c r="D454">
        <v>391</v>
      </c>
      <c r="E454">
        <v>3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35">
      <c r="A455" t="s">
        <v>206</v>
      </c>
      <c r="B455">
        <v>1</v>
      </c>
      <c r="C455">
        <v>387</v>
      </c>
      <c r="D455">
        <v>391</v>
      </c>
      <c r="E455">
        <v>3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35">
      <c r="A456" t="s">
        <v>206</v>
      </c>
      <c r="B456">
        <v>1</v>
      </c>
      <c r="C456">
        <v>387</v>
      </c>
      <c r="D456">
        <v>391</v>
      </c>
      <c r="E456">
        <v>3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35">
      <c r="A457" t="s">
        <v>206</v>
      </c>
      <c r="B457">
        <v>1</v>
      </c>
      <c r="C457">
        <v>618</v>
      </c>
      <c r="D457">
        <v>622</v>
      </c>
      <c r="E457">
        <v>4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35">
      <c r="A458" t="s">
        <v>206</v>
      </c>
      <c r="B458">
        <v>1</v>
      </c>
      <c r="C458">
        <v>387</v>
      </c>
      <c r="D458">
        <v>391</v>
      </c>
      <c r="E458">
        <v>3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35">
      <c r="A459" t="s">
        <v>191</v>
      </c>
      <c r="B459">
        <v>2</v>
      </c>
      <c r="C459">
        <v>382</v>
      </c>
      <c r="D459">
        <v>382</v>
      </c>
      <c r="E459">
        <v>4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35">
      <c r="A460" t="s">
        <v>206</v>
      </c>
      <c r="B460">
        <v>1</v>
      </c>
      <c r="C460">
        <v>387</v>
      </c>
      <c r="D460">
        <v>391</v>
      </c>
      <c r="E460">
        <v>3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35">
      <c r="A461" t="s">
        <v>206</v>
      </c>
      <c r="B461">
        <v>1</v>
      </c>
      <c r="C461">
        <v>387</v>
      </c>
      <c r="D461">
        <v>391</v>
      </c>
      <c r="E461">
        <v>3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35">
      <c r="A462" t="s">
        <v>187</v>
      </c>
      <c r="B462">
        <v>1</v>
      </c>
      <c r="C462">
        <v>381</v>
      </c>
      <c r="D462">
        <v>381</v>
      </c>
      <c r="E462">
        <v>8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35">
      <c r="A463" t="s">
        <v>299</v>
      </c>
      <c r="B463">
        <v>1</v>
      </c>
      <c r="C463">
        <v>514</v>
      </c>
      <c r="D463">
        <v>553</v>
      </c>
      <c r="E463">
        <v>25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35">
      <c r="A464" t="s">
        <v>207</v>
      </c>
      <c r="B464">
        <v>2</v>
      </c>
      <c r="C464">
        <v>576</v>
      </c>
      <c r="D464">
        <v>580</v>
      </c>
      <c r="E464">
        <v>6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35">
      <c r="A465" t="s">
        <v>201</v>
      </c>
      <c r="B465">
        <v>1</v>
      </c>
      <c r="C465">
        <v>580</v>
      </c>
      <c r="D465">
        <v>582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35">
      <c r="A466" t="s">
        <v>299</v>
      </c>
      <c r="B466">
        <v>1</v>
      </c>
      <c r="C466">
        <v>514</v>
      </c>
      <c r="D466">
        <v>553</v>
      </c>
      <c r="E466">
        <v>25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35">
      <c r="A467" t="s">
        <v>206</v>
      </c>
      <c r="B467">
        <v>1</v>
      </c>
      <c r="C467">
        <v>575</v>
      </c>
      <c r="D467">
        <v>579</v>
      </c>
      <c r="E467">
        <v>3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35">
      <c r="A468" t="s">
        <v>209</v>
      </c>
      <c r="B468">
        <v>1</v>
      </c>
      <c r="C468">
        <v>411</v>
      </c>
      <c r="D468">
        <v>415</v>
      </c>
      <c r="E468">
        <v>1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35">
      <c r="A469" t="s">
        <v>192</v>
      </c>
      <c r="B469">
        <v>1</v>
      </c>
      <c r="C469">
        <v>359</v>
      </c>
      <c r="D469">
        <v>364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35">
      <c r="A470" t="s">
        <v>206</v>
      </c>
      <c r="B470">
        <v>1</v>
      </c>
      <c r="C470">
        <v>584</v>
      </c>
      <c r="D470">
        <v>588</v>
      </c>
      <c r="E470">
        <v>4</v>
      </c>
      <c r="F470">
        <v>1</v>
      </c>
      <c r="G470" t="b">
        <v>0</v>
      </c>
      <c r="H470" t="b">
        <v>0</v>
      </c>
      <c r="I470" t="b">
        <v>1</v>
      </c>
    </row>
    <row r="471" spans="1:9" x14ac:dyDescent="0.35">
      <c r="A471" t="s">
        <v>201</v>
      </c>
      <c r="B471">
        <v>1</v>
      </c>
      <c r="C471">
        <v>580</v>
      </c>
      <c r="D471">
        <v>582</v>
      </c>
      <c r="E471">
        <v>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35">
      <c r="A472" t="s">
        <v>300</v>
      </c>
      <c r="B472">
        <v>1</v>
      </c>
      <c r="C472">
        <v>371</v>
      </c>
      <c r="D472">
        <v>417</v>
      </c>
      <c r="E472">
        <v>18</v>
      </c>
      <c r="F472">
        <v>1</v>
      </c>
      <c r="G472" t="b">
        <v>0</v>
      </c>
      <c r="H472" t="b">
        <v>0</v>
      </c>
      <c r="I472" t="b">
        <v>1</v>
      </c>
    </row>
    <row r="473" spans="1:9" x14ac:dyDescent="0.35">
      <c r="A473" t="s">
        <v>206</v>
      </c>
      <c r="B473">
        <v>1</v>
      </c>
      <c r="C473">
        <v>575</v>
      </c>
      <c r="D473">
        <v>579</v>
      </c>
      <c r="E473">
        <v>3</v>
      </c>
      <c r="F473">
        <v>1</v>
      </c>
      <c r="G473" t="b">
        <v>0</v>
      </c>
      <c r="H473" t="b">
        <v>0</v>
      </c>
      <c r="I473" t="b">
        <v>1</v>
      </c>
    </row>
    <row r="474" spans="1:9" x14ac:dyDescent="0.35">
      <c r="A474" t="s">
        <v>299</v>
      </c>
      <c r="B474">
        <v>1</v>
      </c>
      <c r="C474">
        <v>514</v>
      </c>
      <c r="D474">
        <v>553</v>
      </c>
      <c r="E474">
        <v>25</v>
      </c>
      <c r="F474">
        <v>1</v>
      </c>
      <c r="G474" t="b">
        <v>0</v>
      </c>
      <c r="H474" t="b">
        <v>0</v>
      </c>
      <c r="I474" t="b">
        <v>1</v>
      </c>
    </row>
    <row r="475" spans="1:9" x14ac:dyDescent="0.35">
      <c r="A475" t="s">
        <v>201</v>
      </c>
      <c r="B475">
        <v>1</v>
      </c>
      <c r="C475">
        <v>580</v>
      </c>
      <c r="D475">
        <v>582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35">
      <c r="A476" t="s">
        <v>299</v>
      </c>
      <c r="B476">
        <v>1</v>
      </c>
      <c r="C476">
        <v>514</v>
      </c>
      <c r="D476">
        <v>553</v>
      </c>
      <c r="E476">
        <v>25</v>
      </c>
      <c r="F476">
        <v>1</v>
      </c>
      <c r="G476" t="b">
        <v>0</v>
      </c>
      <c r="H476" t="b">
        <v>0</v>
      </c>
      <c r="I476" t="b">
        <v>1</v>
      </c>
    </row>
    <row r="477" spans="1:9" x14ac:dyDescent="0.35">
      <c r="A477" t="s">
        <v>206</v>
      </c>
      <c r="B477">
        <v>1</v>
      </c>
      <c r="C477">
        <v>575</v>
      </c>
      <c r="D477">
        <v>579</v>
      </c>
      <c r="E477">
        <v>3</v>
      </c>
      <c r="F477">
        <v>1</v>
      </c>
      <c r="G477" t="b">
        <v>0</v>
      </c>
      <c r="H477" t="b">
        <v>0</v>
      </c>
      <c r="I477" t="b">
        <v>1</v>
      </c>
    </row>
    <row r="478" spans="1:9" x14ac:dyDescent="0.35">
      <c r="A478" t="s">
        <v>202</v>
      </c>
      <c r="B478">
        <v>5</v>
      </c>
      <c r="C478">
        <v>357</v>
      </c>
      <c r="D478">
        <v>353</v>
      </c>
      <c r="E478">
        <v>9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35">
      <c r="A479" t="s">
        <v>202</v>
      </c>
      <c r="B479">
        <v>4</v>
      </c>
      <c r="C479">
        <v>149</v>
      </c>
      <c r="D479">
        <v>145</v>
      </c>
      <c r="E479">
        <v>7</v>
      </c>
      <c r="F479">
        <v>2</v>
      </c>
      <c r="G479" t="b">
        <v>1</v>
      </c>
      <c r="H479" t="b">
        <v>1</v>
      </c>
      <c r="I479" t="b">
        <v>1</v>
      </c>
    </row>
    <row r="480" spans="1:9" x14ac:dyDescent="0.35">
      <c r="A480" t="s">
        <v>187</v>
      </c>
      <c r="B480">
        <v>1</v>
      </c>
      <c r="C480">
        <v>403</v>
      </c>
      <c r="D480">
        <v>403</v>
      </c>
      <c r="E480">
        <v>8</v>
      </c>
      <c r="F480">
        <v>2</v>
      </c>
      <c r="G480" t="b">
        <v>0</v>
      </c>
      <c r="H480" t="b">
        <v>0</v>
      </c>
      <c r="I480" t="b">
        <v>1</v>
      </c>
    </row>
    <row r="481" spans="1:9" x14ac:dyDescent="0.35">
      <c r="A481" t="s">
        <v>206</v>
      </c>
      <c r="B481">
        <v>1</v>
      </c>
      <c r="C481">
        <v>353</v>
      </c>
      <c r="D481">
        <v>357</v>
      </c>
      <c r="E481">
        <v>2</v>
      </c>
      <c r="F481">
        <v>1</v>
      </c>
      <c r="G481" t="b">
        <v>0</v>
      </c>
      <c r="H481" t="b">
        <v>0</v>
      </c>
      <c r="I481" t="b">
        <v>1</v>
      </c>
    </row>
    <row r="482" spans="1:9" x14ac:dyDescent="0.35">
      <c r="A482" t="s">
        <v>204</v>
      </c>
      <c r="B482">
        <v>3</v>
      </c>
      <c r="C482">
        <v>405</v>
      </c>
      <c r="D482">
        <v>405</v>
      </c>
      <c r="E482">
        <v>9</v>
      </c>
      <c r="F482">
        <v>2</v>
      </c>
      <c r="G482" t="b">
        <v>1</v>
      </c>
      <c r="H482" t="b">
        <v>1</v>
      </c>
      <c r="I482" t="b">
        <v>1</v>
      </c>
    </row>
    <row r="483" spans="1:9" x14ac:dyDescent="0.35">
      <c r="A483" t="s">
        <v>204</v>
      </c>
      <c r="B483">
        <v>4</v>
      </c>
      <c r="C483">
        <v>405</v>
      </c>
      <c r="D483">
        <v>405</v>
      </c>
      <c r="E483">
        <v>9</v>
      </c>
      <c r="F483">
        <v>6</v>
      </c>
      <c r="G483" t="b">
        <v>1</v>
      </c>
      <c r="H483" t="b">
        <v>1</v>
      </c>
      <c r="I483" t="b">
        <v>1</v>
      </c>
    </row>
    <row r="484" spans="1:9" x14ac:dyDescent="0.35">
      <c r="A484" t="s">
        <v>206</v>
      </c>
      <c r="B484">
        <v>1</v>
      </c>
      <c r="C484">
        <v>387</v>
      </c>
      <c r="D484">
        <v>391</v>
      </c>
      <c r="E484">
        <v>3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35">
      <c r="A485" t="s">
        <v>206</v>
      </c>
      <c r="B485">
        <v>1</v>
      </c>
      <c r="C485">
        <v>387</v>
      </c>
      <c r="D485">
        <v>391</v>
      </c>
      <c r="E485">
        <v>3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35">
      <c r="A486" t="s">
        <v>206</v>
      </c>
      <c r="B486">
        <v>1</v>
      </c>
      <c r="C486">
        <v>618</v>
      </c>
      <c r="D486">
        <v>622</v>
      </c>
      <c r="E486">
        <v>4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35">
      <c r="A487" t="s">
        <v>206</v>
      </c>
      <c r="B487">
        <v>1</v>
      </c>
      <c r="C487">
        <v>618</v>
      </c>
      <c r="D487">
        <v>622</v>
      </c>
      <c r="E487">
        <v>4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35">
      <c r="A488" t="s">
        <v>205</v>
      </c>
      <c r="B488">
        <v>3</v>
      </c>
      <c r="C488">
        <v>621</v>
      </c>
      <c r="D488">
        <v>624</v>
      </c>
      <c r="E488">
        <v>16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35">
      <c r="A489" t="s">
        <v>204</v>
      </c>
      <c r="B489">
        <v>3</v>
      </c>
      <c r="C489">
        <v>613</v>
      </c>
      <c r="D489">
        <v>613</v>
      </c>
      <c r="E489">
        <v>10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35">
      <c r="A490" t="s">
        <v>205</v>
      </c>
      <c r="B490">
        <v>3</v>
      </c>
      <c r="C490">
        <v>621</v>
      </c>
      <c r="D490">
        <v>624</v>
      </c>
      <c r="E490">
        <v>16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35">
      <c r="A491" t="s">
        <v>204</v>
      </c>
      <c r="B491">
        <v>3</v>
      </c>
      <c r="C491">
        <v>613</v>
      </c>
      <c r="D491">
        <v>613</v>
      </c>
      <c r="E491">
        <v>10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35">
      <c r="A492" t="s">
        <v>196</v>
      </c>
      <c r="B492">
        <v>4</v>
      </c>
      <c r="C492">
        <v>321</v>
      </c>
      <c r="D492">
        <v>318</v>
      </c>
      <c r="E492">
        <v>11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35">
      <c r="A493" t="s">
        <v>206</v>
      </c>
      <c r="B493">
        <v>2</v>
      </c>
      <c r="C493">
        <v>362</v>
      </c>
      <c r="D493">
        <v>366</v>
      </c>
      <c r="E493">
        <v>3</v>
      </c>
      <c r="F493">
        <v>2</v>
      </c>
      <c r="G493" t="b">
        <v>0</v>
      </c>
      <c r="H493" t="b">
        <v>0</v>
      </c>
      <c r="I493" t="b">
        <v>1</v>
      </c>
    </row>
    <row r="494" spans="1:9" x14ac:dyDescent="0.35">
      <c r="A494" t="s">
        <v>192</v>
      </c>
      <c r="B494">
        <v>1</v>
      </c>
      <c r="C494">
        <v>359</v>
      </c>
      <c r="D494">
        <v>364</v>
      </c>
      <c r="E494">
        <v>1</v>
      </c>
      <c r="F494">
        <v>1</v>
      </c>
      <c r="G494" t="b">
        <v>0</v>
      </c>
      <c r="H494" t="b">
        <v>0</v>
      </c>
      <c r="I494" t="b">
        <v>1</v>
      </c>
    </row>
    <row r="495" spans="1:9" x14ac:dyDescent="0.35">
      <c r="A495" t="s">
        <v>206</v>
      </c>
      <c r="B495">
        <v>1</v>
      </c>
      <c r="C495">
        <v>387</v>
      </c>
      <c r="D495">
        <v>391</v>
      </c>
      <c r="E495">
        <v>3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35">
      <c r="A496" t="s">
        <v>206</v>
      </c>
      <c r="B496">
        <v>1</v>
      </c>
      <c r="C496">
        <v>387</v>
      </c>
      <c r="D496">
        <v>391</v>
      </c>
      <c r="E496">
        <v>3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35">
      <c r="A497" t="s">
        <v>187</v>
      </c>
      <c r="B497">
        <v>1</v>
      </c>
      <c r="C497">
        <v>381</v>
      </c>
      <c r="D497">
        <v>381</v>
      </c>
      <c r="E497">
        <v>8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35">
      <c r="A498" t="s">
        <v>301</v>
      </c>
      <c r="B498">
        <v>1</v>
      </c>
      <c r="C498">
        <v>145</v>
      </c>
      <c r="D498">
        <v>291</v>
      </c>
      <c r="E498">
        <v>13</v>
      </c>
      <c r="F498">
        <v>1</v>
      </c>
      <c r="G498" t="b">
        <v>0</v>
      </c>
      <c r="H498" t="b">
        <v>0</v>
      </c>
      <c r="I498" t="b">
        <v>1</v>
      </c>
    </row>
    <row r="499" spans="1:9" x14ac:dyDescent="0.35">
      <c r="A499" t="s">
        <v>301</v>
      </c>
      <c r="B499">
        <v>1</v>
      </c>
      <c r="C499">
        <v>145</v>
      </c>
      <c r="D499">
        <v>291</v>
      </c>
      <c r="E499">
        <v>13</v>
      </c>
      <c r="F499">
        <v>1</v>
      </c>
      <c r="G499" t="b">
        <v>0</v>
      </c>
      <c r="H499" t="b">
        <v>0</v>
      </c>
      <c r="I499" t="b">
        <v>1</v>
      </c>
    </row>
    <row r="500" spans="1:9" x14ac:dyDescent="0.35">
      <c r="A500" t="s">
        <v>301</v>
      </c>
      <c r="B500">
        <v>1</v>
      </c>
      <c r="C500">
        <v>145</v>
      </c>
      <c r="D500">
        <v>291</v>
      </c>
      <c r="E500">
        <v>13</v>
      </c>
      <c r="F500">
        <v>1</v>
      </c>
      <c r="G500" t="b">
        <v>0</v>
      </c>
      <c r="H500" t="b">
        <v>0</v>
      </c>
      <c r="I500" t="b">
        <v>1</v>
      </c>
    </row>
    <row r="501" spans="1:9" x14ac:dyDescent="0.35">
      <c r="A501" t="s">
        <v>301</v>
      </c>
      <c r="B501">
        <v>1</v>
      </c>
      <c r="C501">
        <v>145</v>
      </c>
      <c r="D501">
        <v>291</v>
      </c>
      <c r="E501">
        <v>13</v>
      </c>
      <c r="F501">
        <v>1</v>
      </c>
      <c r="G501" t="b">
        <v>0</v>
      </c>
      <c r="H501" t="b">
        <v>0</v>
      </c>
      <c r="I501" t="b">
        <v>1</v>
      </c>
    </row>
    <row r="502" spans="1:9" x14ac:dyDescent="0.35">
      <c r="A502" t="s">
        <v>164</v>
      </c>
      <c r="B502">
        <v>1</v>
      </c>
      <c r="C502">
        <v>341</v>
      </c>
      <c r="D502">
        <v>344</v>
      </c>
      <c r="E502">
        <v>4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35">
      <c r="A503" t="s">
        <v>211</v>
      </c>
      <c r="B503">
        <v>2</v>
      </c>
      <c r="C503">
        <v>635</v>
      </c>
      <c r="D503">
        <v>640</v>
      </c>
      <c r="E503">
        <v>2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35">
      <c r="A504" t="s">
        <v>164</v>
      </c>
      <c r="B504">
        <v>6</v>
      </c>
      <c r="C504">
        <v>638</v>
      </c>
      <c r="D504">
        <v>641</v>
      </c>
      <c r="E504">
        <v>5</v>
      </c>
      <c r="F504">
        <v>3</v>
      </c>
      <c r="G504" t="b">
        <v>1</v>
      </c>
      <c r="H504" t="b">
        <v>1</v>
      </c>
      <c r="I504" t="b">
        <v>1</v>
      </c>
    </row>
    <row r="505" spans="1:9" x14ac:dyDescent="0.35">
      <c r="A505" t="s">
        <v>302</v>
      </c>
      <c r="B505">
        <v>1</v>
      </c>
      <c r="C505">
        <v>249</v>
      </c>
      <c r="D505">
        <v>479</v>
      </c>
      <c r="E505">
        <v>19</v>
      </c>
      <c r="F505">
        <v>1</v>
      </c>
      <c r="G505" t="b">
        <v>0</v>
      </c>
      <c r="H505" t="b">
        <v>0</v>
      </c>
      <c r="I505" t="b">
        <v>1</v>
      </c>
    </row>
    <row r="506" spans="1:9" x14ac:dyDescent="0.35">
      <c r="A506" t="s">
        <v>214</v>
      </c>
      <c r="B506">
        <v>1</v>
      </c>
      <c r="C506">
        <v>85</v>
      </c>
      <c r="D506">
        <v>85</v>
      </c>
      <c r="E506">
        <v>2</v>
      </c>
      <c r="F506">
        <v>2</v>
      </c>
      <c r="G506" t="b">
        <v>1</v>
      </c>
      <c r="H506" t="b">
        <v>1</v>
      </c>
      <c r="I506" t="b">
        <v>1</v>
      </c>
    </row>
    <row r="507" spans="1:9" x14ac:dyDescent="0.35">
      <c r="A507" t="s">
        <v>214</v>
      </c>
      <c r="B507">
        <v>1</v>
      </c>
      <c r="C507">
        <v>169</v>
      </c>
      <c r="D507">
        <v>169</v>
      </c>
      <c r="E507">
        <v>2</v>
      </c>
      <c r="F507">
        <v>2</v>
      </c>
      <c r="G507" t="b">
        <v>0</v>
      </c>
      <c r="H507" t="b">
        <v>0</v>
      </c>
      <c r="I507" t="b">
        <v>1</v>
      </c>
    </row>
    <row r="508" spans="1:9" x14ac:dyDescent="0.35">
      <c r="A508" t="s">
        <v>211</v>
      </c>
      <c r="B508">
        <v>2</v>
      </c>
      <c r="C508">
        <v>635</v>
      </c>
      <c r="D508">
        <v>640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35">
      <c r="A509" t="s">
        <v>164</v>
      </c>
      <c r="B509">
        <v>6</v>
      </c>
      <c r="C509">
        <v>638</v>
      </c>
      <c r="D509">
        <v>641</v>
      </c>
      <c r="E509">
        <v>5</v>
      </c>
      <c r="F509">
        <v>3</v>
      </c>
      <c r="G509" t="b">
        <v>1</v>
      </c>
      <c r="H509" t="b">
        <v>1</v>
      </c>
      <c r="I509" t="b">
        <v>1</v>
      </c>
    </row>
    <row r="510" spans="1:9" x14ac:dyDescent="0.35">
      <c r="A510" t="s">
        <v>302</v>
      </c>
      <c r="B510">
        <v>1</v>
      </c>
      <c r="C510">
        <v>249</v>
      </c>
      <c r="D510">
        <v>479</v>
      </c>
      <c r="E510">
        <v>19</v>
      </c>
      <c r="F510">
        <v>1</v>
      </c>
      <c r="G510" t="b">
        <v>0</v>
      </c>
      <c r="H510" t="b">
        <v>0</v>
      </c>
      <c r="I510" t="b">
        <v>1</v>
      </c>
    </row>
    <row r="511" spans="1:9" x14ac:dyDescent="0.35">
      <c r="A511" t="s">
        <v>302</v>
      </c>
      <c r="B511">
        <v>1</v>
      </c>
      <c r="C511">
        <v>249</v>
      </c>
      <c r="D511">
        <v>479</v>
      </c>
      <c r="E511">
        <v>19</v>
      </c>
      <c r="F511">
        <v>1</v>
      </c>
      <c r="G511" t="b">
        <v>0</v>
      </c>
      <c r="H511" t="b">
        <v>0</v>
      </c>
      <c r="I511" t="b">
        <v>1</v>
      </c>
    </row>
    <row r="512" spans="1:9" x14ac:dyDescent="0.35">
      <c r="A512" t="s">
        <v>214</v>
      </c>
      <c r="B512">
        <v>1</v>
      </c>
      <c r="C512">
        <v>85</v>
      </c>
      <c r="D512">
        <v>85</v>
      </c>
      <c r="E512">
        <v>2</v>
      </c>
      <c r="F512">
        <v>2</v>
      </c>
      <c r="G512" t="b">
        <v>1</v>
      </c>
      <c r="H512" t="b">
        <v>1</v>
      </c>
      <c r="I512" t="b">
        <v>1</v>
      </c>
    </row>
    <row r="513" spans="1:9" x14ac:dyDescent="0.35">
      <c r="A513" t="s">
        <v>301</v>
      </c>
      <c r="B513">
        <v>1</v>
      </c>
      <c r="C513">
        <v>145</v>
      </c>
      <c r="D513">
        <v>291</v>
      </c>
      <c r="E513">
        <v>13</v>
      </c>
      <c r="F513">
        <v>1</v>
      </c>
      <c r="G513" t="b">
        <v>0</v>
      </c>
      <c r="H513" t="b">
        <v>0</v>
      </c>
      <c r="I513" t="b">
        <v>1</v>
      </c>
    </row>
    <row r="514" spans="1:9" x14ac:dyDescent="0.35">
      <c r="A514" t="s">
        <v>212</v>
      </c>
      <c r="B514">
        <v>7</v>
      </c>
      <c r="C514">
        <v>345</v>
      </c>
      <c r="D514">
        <v>342</v>
      </c>
      <c r="E514">
        <v>7</v>
      </c>
      <c r="F514">
        <v>6</v>
      </c>
      <c r="G514" t="b">
        <v>1</v>
      </c>
      <c r="H514" t="b">
        <v>1</v>
      </c>
      <c r="I514" t="b">
        <v>1</v>
      </c>
    </row>
    <row r="515" spans="1:9" x14ac:dyDescent="0.35">
      <c r="A515" t="s">
        <v>213</v>
      </c>
      <c r="B515">
        <v>3</v>
      </c>
      <c r="C515">
        <v>343</v>
      </c>
      <c r="D515">
        <v>340</v>
      </c>
      <c r="E515">
        <v>19</v>
      </c>
      <c r="F515">
        <v>2</v>
      </c>
      <c r="G515" t="b">
        <v>1</v>
      </c>
      <c r="H515" t="b">
        <v>1</v>
      </c>
      <c r="I515" t="b">
        <v>1</v>
      </c>
    </row>
    <row r="516" spans="1:9" x14ac:dyDescent="0.35">
      <c r="A516" t="s">
        <v>214</v>
      </c>
      <c r="B516">
        <v>1</v>
      </c>
      <c r="C516">
        <v>169</v>
      </c>
      <c r="D516">
        <v>169</v>
      </c>
      <c r="E516">
        <v>2</v>
      </c>
      <c r="F516">
        <v>2</v>
      </c>
      <c r="G516" t="b">
        <v>0</v>
      </c>
      <c r="H516" t="b">
        <v>0</v>
      </c>
      <c r="I516" t="b">
        <v>1</v>
      </c>
    </row>
    <row r="517" spans="1:9" x14ac:dyDescent="0.35">
      <c r="A517" t="s">
        <v>214</v>
      </c>
      <c r="B517">
        <v>1</v>
      </c>
      <c r="C517">
        <v>44</v>
      </c>
      <c r="D517">
        <v>44</v>
      </c>
      <c r="E517">
        <v>20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35">
      <c r="A518" t="s">
        <v>214</v>
      </c>
      <c r="B518">
        <v>1</v>
      </c>
      <c r="C518">
        <v>169</v>
      </c>
      <c r="D518">
        <v>169</v>
      </c>
      <c r="E518">
        <v>2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35">
      <c r="A519" t="s">
        <v>212</v>
      </c>
      <c r="B519">
        <v>4</v>
      </c>
      <c r="C519">
        <v>345</v>
      </c>
      <c r="D519">
        <v>342</v>
      </c>
      <c r="E519">
        <v>7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35">
      <c r="A520" t="s">
        <v>214</v>
      </c>
      <c r="B520">
        <v>1</v>
      </c>
      <c r="C520">
        <v>169</v>
      </c>
      <c r="D520">
        <v>169</v>
      </c>
      <c r="E520">
        <v>2</v>
      </c>
      <c r="F520">
        <v>2</v>
      </c>
      <c r="G520" t="b">
        <v>0</v>
      </c>
      <c r="H520" t="b">
        <v>0</v>
      </c>
      <c r="I520" t="b">
        <v>1</v>
      </c>
    </row>
    <row r="521" spans="1:9" x14ac:dyDescent="0.35">
      <c r="A521" t="s">
        <v>214</v>
      </c>
      <c r="B521">
        <v>1</v>
      </c>
      <c r="C521">
        <v>85</v>
      </c>
      <c r="D521">
        <v>85</v>
      </c>
      <c r="E521">
        <v>2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35">
      <c r="A522" t="s">
        <v>213</v>
      </c>
      <c r="B522">
        <v>2</v>
      </c>
      <c r="C522">
        <v>173</v>
      </c>
      <c r="D522">
        <v>171</v>
      </c>
      <c r="E522">
        <v>11</v>
      </c>
      <c r="F522">
        <v>2</v>
      </c>
      <c r="G522" t="b">
        <v>1</v>
      </c>
      <c r="H522" t="b">
        <v>1</v>
      </c>
      <c r="I522" t="b">
        <v>1</v>
      </c>
    </row>
    <row r="523" spans="1:9" x14ac:dyDescent="0.35">
      <c r="A523" t="s">
        <v>214</v>
      </c>
      <c r="B523">
        <v>1</v>
      </c>
      <c r="C523">
        <v>169</v>
      </c>
      <c r="D523">
        <v>169</v>
      </c>
      <c r="E523">
        <v>2</v>
      </c>
      <c r="F523">
        <v>2</v>
      </c>
      <c r="G523" t="b">
        <v>0</v>
      </c>
      <c r="H523" t="b">
        <v>0</v>
      </c>
      <c r="I523" t="b">
        <v>1</v>
      </c>
    </row>
    <row r="524" spans="1:9" x14ac:dyDescent="0.35">
      <c r="A524" t="s">
        <v>212</v>
      </c>
      <c r="B524">
        <v>4</v>
      </c>
      <c r="C524">
        <v>345</v>
      </c>
      <c r="D524">
        <v>342</v>
      </c>
      <c r="E524">
        <v>7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35">
      <c r="A525" t="s">
        <v>212</v>
      </c>
      <c r="B525">
        <v>7</v>
      </c>
      <c r="C525">
        <v>345</v>
      </c>
      <c r="D525">
        <v>342</v>
      </c>
      <c r="E525">
        <v>7</v>
      </c>
      <c r="F525">
        <v>6</v>
      </c>
      <c r="G525" t="b">
        <v>1</v>
      </c>
      <c r="H525" t="b">
        <v>1</v>
      </c>
      <c r="I525" t="b">
        <v>1</v>
      </c>
    </row>
    <row r="526" spans="1:9" x14ac:dyDescent="0.35">
      <c r="A526" t="s">
        <v>213</v>
      </c>
      <c r="B526">
        <v>2</v>
      </c>
      <c r="C526">
        <v>173</v>
      </c>
      <c r="D526">
        <v>171</v>
      </c>
      <c r="E526">
        <v>11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35">
      <c r="A527" t="s">
        <v>212</v>
      </c>
      <c r="B527">
        <v>4</v>
      </c>
      <c r="C527">
        <v>345</v>
      </c>
      <c r="D527">
        <v>342</v>
      </c>
      <c r="E527">
        <v>7</v>
      </c>
      <c r="F527">
        <v>2</v>
      </c>
      <c r="G527" t="b">
        <v>1</v>
      </c>
      <c r="H527" t="b">
        <v>1</v>
      </c>
      <c r="I527" t="b">
        <v>1</v>
      </c>
    </row>
    <row r="528" spans="1:9" x14ac:dyDescent="0.35">
      <c r="A528" t="s">
        <v>213</v>
      </c>
      <c r="B528">
        <v>3</v>
      </c>
      <c r="C528">
        <v>343</v>
      </c>
      <c r="D528">
        <v>340</v>
      </c>
      <c r="E528">
        <v>19</v>
      </c>
      <c r="F528">
        <v>2</v>
      </c>
      <c r="G528" t="b">
        <v>1</v>
      </c>
      <c r="H528" t="b">
        <v>1</v>
      </c>
      <c r="I528" t="b">
        <v>1</v>
      </c>
    </row>
    <row r="529" spans="1:9" x14ac:dyDescent="0.35">
      <c r="A529" t="s">
        <v>214</v>
      </c>
      <c r="B529">
        <v>1</v>
      </c>
      <c r="C529">
        <v>169</v>
      </c>
      <c r="D529">
        <v>169</v>
      </c>
      <c r="E529">
        <v>2</v>
      </c>
      <c r="F529">
        <v>1</v>
      </c>
      <c r="G529" t="b">
        <v>0</v>
      </c>
      <c r="H529" t="b">
        <v>0</v>
      </c>
      <c r="I529" t="b">
        <v>1</v>
      </c>
    </row>
    <row r="530" spans="1:9" x14ac:dyDescent="0.35">
      <c r="A530" t="s">
        <v>301</v>
      </c>
      <c r="B530">
        <v>1</v>
      </c>
      <c r="C530">
        <v>145</v>
      </c>
      <c r="D530">
        <v>291</v>
      </c>
      <c r="E530">
        <v>13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35">
      <c r="A531" t="s">
        <v>301</v>
      </c>
      <c r="B531">
        <v>1</v>
      </c>
      <c r="C531">
        <v>145</v>
      </c>
      <c r="D531">
        <v>291</v>
      </c>
      <c r="E531">
        <v>13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35">
      <c r="A532" t="s">
        <v>301</v>
      </c>
      <c r="B532">
        <v>1</v>
      </c>
      <c r="C532">
        <v>145</v>
      </c>
      <c r="D532">
        <v>291</v>
      </c>
      <c r="E532">
        <v>13</v>
      </c>
      <c r="F532">
        <v>1</v>
      </c>
      <c r="G532" t="b">
        <v>0</v>
      </c>
      <c r="H532" t="b">
        <v>0</v>
      </c>
      <c r="I532" t="b">
        <v>1</v>
      </c>
    </row>
    <row r="533" spans="1:9" x14ac:dyDescent="0.35">
      <c r="A533" t="s">
        <v>301</v>
      </c>
      <c r="B533">
        <v>1</v>
      </c>
      <c r="C533">
        <v>145</v>
      </c>
      <c r="D533">
        <v>291</v>
      </c>
      <c r="E533">
        <v>13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35">
      <c r="A534" t="s">
        <v>214</v>
      </c>
      <c r="B534">
        <v>1</v>
      </c>
      <c r="C534">
        <v>169</v>
      </c>
      <c r="D534">
        <v>169</v>
      </c>
      <c r="E534">
        <v>2</v>
      </c>
      <c r="F534">
        <v>2</v>
      </c>
      <c r="G534" t="b">
        <v>0</v>
      </c>
      <c r="H534" t="b">
        <v>0</v>
      </c>
      <c r="I534" t="b">
        <v>1</v>
      </c>
    </row>
    <row r="535" spans="1:9" x14ac:dyDescent="0.35">
      <c r="A535" t="s">
        <v>214</v>
      </c>
      <c r="B535">
        <v>1</v>
      </c>
      <c r="C535">
        <v>169</v>
      </c>
      <c r="D535">
        <v>169</v>
      </c>
      <c r="E535">
        <v>2</v>
      </c>
      <c r="F535">
        <v>2</v>
      </c>
      <c r="G535" t="b">
        <v>0</v>
      </c>
      <c r="H535" t="b">
        <v>0</v>
      </c>
      <c r="I535" t="b">
        <v>1</v>
      </c>
    </row>
    <row r="536" spans="1:9" x14ac:dyDescent="0.35">
      <c r="A536" t="s">
        <v>214</v>
      </c>
      <c r="B536">
        <v>1</v>
      </c>
      <c r="C536">
        <v>169</v>
      </c>
      <c r="D536">
        <v>169</v>
      </c>
      <c r="E536">
        <v>2</v>
      </c>
      <c r="F536">
        <v>2</v>
      </c>
      <c r="G536" t="b">
        <v>0</v>
      </c>
      <c r="H536" t="b">
        <v>0</v>
      </c>
      <c r="I536" t="b">
        <v>1</v>
      </c>
    </row>
    <row r="537" spans="1:9" x14ac:dyDescent="0.35">
      <c r="A537" t="s">
        <v>213</v>
      </c>
      <c r="B537">
        <v>2</v>
      </c>
      <c r="C537">
        <v>173</v>
      </c>
      <c r="D537">
        <v>171</v>
      </c>
      <c r="E537">
        <v>11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35">
      <c r="A538" t="s">
        <v>164</v>
      </c>
      <c r="B538">
        <v>1</v>
      </c>
      <c r="C538">
        <v>341</v>
      </c>
      <c r="D538">
        <v>344</v>
      </c>
      <c r="E538">
        <v>4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35">
      <c r="A539" t="s">
        <v>214</v>
      </c>
      <c r="B539">
        <v>1</v>
      </c>
      <c r="C539">
        <v>169</v>
      </c>
      <c r="D539">
        <v>169</v>
      </c>
      <c r="E539">
        <v>2</v>
      </c>
      <c r="F539">
        <v>2</v>
      </c>
      <c r="G539" t="b">
        <v>0</v>
      </c>
      <c r="H539" t="b">
        <v>0</v>
      </c>
      <c r="I539" t="b">
        <v>1</v>
      </c>
    </row>
    <row r="540" spans="1:9" x14ac:dyDescent="0.35">
      <c r="A540" t="s">
        <v>164</v>
      </c>
      <c r="B540">
        <v>1</v>
      </c>
      <c r="C540">
        <v>171</v>
      </c>
      <c r="D540">
        <v>174</v>
      </c>
      <c r="E540">
        <v>3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35">
      <c r="A541" t="s">
        <v>214</v>
      </c>
      <c r="B541">
        <v>1</v>
      </c>
      <c r="C541">
        <v>85</v>
      </c>
      <c r="D541">
        <v>85</v>
      </c>
      <c r="E541">
        <v>2</v>
      </c>
      <c r="F541">
        <v>2</v>
      </c>
      <c r="G541" t="b">
        <v>1</v>
      </c>
      <c r="H541" t="b">
        <v>1</v>
      </c>
      <c r="I541" t="b">
        <v>1</v>
      </c>
    </row>
    <row r="542" spans="1:9" x14ac:dyDescent="0.35">
      <c r="A542" t="s">
        <v>214</v>
      </c>
      <c r="B542">
        <v>1</v>
      </c>
      <c r="C542">
        <v>169</v>
      </c>
      <c r="D542">
        <v>169</v>
      </c>
      <c r="E542">
        <v>2</v>
      </c>
      <c r="F542">
        <v>2</v>
      </c>
      <c r="G542" t="b">
        <v>0</v>
      </c>
      <c r="H542" t="b">
        <v>0</v>
      </c>
      <c r="I542" t="b">
        <v>1</v>
      </c>
    </row>
    <row r="543" spans="1:9" x14ac:dyDescent="0.35">
      <c r="A543" t="s">
        <v>323</v>
      </c>
      <c r="B543">
        <v>1</v>
      </c>
      <c r="C543">
        <v>7</v>
      </c>
      <c r="D543">
        <v>4</v>
      </c>
      <c r="E543">
        <v>129</v>
      </c>
      <c r="F543">
        <v>100021</v>
      </c>
      <c r="G543" t="b">
        <v>0</v>
      </c>
      <c r="H543" t="b">
        <v>0</v>
      </c>
      <c r="I543" t="b">
        <v>1</v>
      </c>
    </row>
    <row r="544" spans="1:9" x14ac:dyDescent="0.35">
      <c r="A544" t="s">
        <v>164</v>
      </c>
      <c r="B544">
        <v>1</v>
      </c>
      <c r="C544">
        <v>171</v>
      </c>
      <c r="D544">
        <v>174</v>
      </c>
      <c r="E544">
        <v>3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35">
      <c r="A545" t="s">
        <v>214</v>
      </c>
      <c r="B545">
        <v>1</v>
      </c>
      <c r="C545">
        <v>85</v>
      </c>
      <c r="D545">
        <v>85</v>
      </c>
      <c r="E545">
        <v>2</v>
      </c>
      <c r="F545">
        <v>2</v>
      </c>
      <c r="G545" t="b">
        <v>1</v>
      </c>
      <c r="H545" t="b">
        <v>1</v>
      </c>
      <c r="I545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overall</vt:lpstr>
      <vt:lpstr>accuracy details</vt:lpstr>
      <vt:lpstr>formula - syn -len-alpha</vt:lpstr>
      <vt:lpstr>formula first - length - alpha</vt:lpstr>
      <vt:lpstr>gen - syn - len alpha</vt:lpstr>
      <vt:lpstr>gen - first - len - alpha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Sullivan, Allison</dc:creator>
  <cp:keywords/>
  <dc:description/>
  <cp:lastModifiedBy>Sullivan, Allison</cp:lastModifiedBy>
  <cp:revision/>
  <dcterms:created xsi:type="dcterms:W3CDTF">2025-08-26T19:38:32Z</dcterms:created>
  <dcterms:modified xsi:type="dcterms:W3CDTF">2025-09-11T20:09:32Z</dcterms:modified>
  <cp:category/>
  <cp:contentStatus/>
</cp:coreProperties>
</file>